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ucav\source\repos\bitbucket\StemDeviceManager\GUI.Windows\Resources\"/>
    </mc:Choice>
  </mc:AlternateContent>
  <xr:revisionPtr revIDLastSave="0" documentId="13_ncr:1_{08B259F7-01CF-4E8A-8947-2470824AFB2F}" xr6:coauthVersionLast="47" xr6:coauthVersionMax="47" xr10:uidLastSave="{00000000-0000-0000-0000-000000000000}"/>
  <bookViews>
    <workbookView xWindow="-120" yWindow="-120" windowWidth="38640" windowHeight="21120" tabRatio="500" firstSheet="5" activeTab="5" xr2:uid="{00000000-000D-0000-FFFF-FFFF00000000}"/>
  </bookViews>
  <sheets>
    <sheet name="COMANDI" sheetId="1" r:id="rId1"/>
    <sheet name="ESEMPI MESSAGGI COMANDI BLE" sheetId="11" r:id="rId2"/>
    <sheet name="DATI LOGICI" sheetId="2" r:id="rId3"/>
    <sheet name="DATI LOGICI SHERPA SLIM" sheetId="3" r:id="rId4"/>
    <sheet name="DATI LOGICI EDEN" sheetId="6" r:id="rId5"/>
    <sheet name="DATI LOGICI TASTIERA PAC" sheetId="14" r:id="rId6"/>
    <sheet name="DATI LOGICI HMI SPYKE" sheetId="12" r:id="rId7"/>
    <sheet name="DATI LOGICI GATEWAY SPYKE" sheetId="13" r:id="rId8"/>
    <sheet name="DATI LOGICI GRADINO" sheetId="10" r:id="rId9"/>
    <sheet name="DATI LOGICI OPTIMUS" sheetId="4" r:id="rId10"/>
    <sheet name="DATI LOGICI TOP-LIFT M" sheetId="5" r:id="rId11"/>
    <sheet name="DATI LOGICI VECCHIO EDEN" sheetId="7" r:id="rId12"/>
    <sheet name="DATI LOGICI TOP-LIFT A2" sheetId="16" r:id="rId13"/>
    <sheet name="DATI LOGICI O3ZTECH" sheetId="17" r:id="rId14"/>
    <sheet name="DATI LOGICI HMI SPARK" sheetId="18" r:id="rId15"/>
    <sheet name="DATI LOGICI OPTIMUS XP" sheetId="20" r:id="rId16"/>
    <sheet name="DATI LOGICI EDEN BS8" sheetId="21" r:id="rId17"/>
    <sheet name="DATI LOGICI R3L-XP Master" sheetId="22" r:id="rId18"/>
    <sheet name="DATI LOGICI R3L-XP Slave" sheetId="23" r:id="rId19"/>
    <sheet name="Tipi FW" sheetId="8" r:id="rId20"/>
    <sheet name="Indirizzo protocollo stem" sheetId="9" r:id="rId21"/>
  </sheets>
  <definedNames>
    <definedName name="_xlnm._FilterDatabase" localSheetId="19" hidden="1">'Tipi FW'!$A$1:$E$1</definedName>
    <definedName name="_xlnm.Print_Area" localSheetId="2">'DATI LOGICI'!$J$2:$K$9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 i="9" l="1"/>
  <c r="G3" i="9"/>
  <c r="C159" i="6"/>
  <c r="C37" i="22"/>
  <c r="C35" i="22"/>
  <c r="C36" i="22" s="1"/>
  <c r="C36" i="23"/>
  <c r="C35" i="23"/>
  <c r="C160" i="21"/>
  <c r="C30" i="23"/>
  <c r="C31" i="23" s="1"/>
  <c r="C32" i="23" s="1"/>
  <c r="C33" i="23" s="1"/>
  <c r="C34" i="23" s="1"/>
  <c r="C37" i="23" s="1"/>
  <c r="C38" i="23" s="1"/>
  <c r="C39" i="23" s="1"/>
  <c r="C40" i="23" s="1"/>
  <c r="C41" i="23" s="1"/>
  <c r="C42" i="23" s="1"/>
  <c r="C43" i="23" s="1"/>
  <c r="C44" i="23" s="1"/>
  <c r="C45" i="23" s="1"/>
  <c r="C46" i="23" s="1"/>
  <c r="C47" i="23" s="1"/>
  <c r="C48" i="23" s="1"/>
  <c r="C49" i="23" s="1"/>
  <c r="C50" i="23" s="1"/>
  <c r="C51" i="23" s="1"/>
  <c r="C52" i="23" s="1"/>
  <c r="C53" i="23" s="1"/>
  <c r="C54" i="23" s="1"/>
  <c r="C55" i="23" s="1"/>
  <c r="C56" i="23" s="1"/>
  <c r="C57" i="23" s="1"/>
  <c r="C58" i="23" s="1"/>
  <c r="C59" i="23" s="1"/>
  <c r="C60" i="23" s="1"/>
  <c r="C61" i="23" s="1"/>
  <c r="C62" i="23" s="1"/>
  <c r="C63" i="23" s="1"/>
  <c r="C64" i="23" s="1"/>
  <c r="C65" i="23" s="1"/>
  <c r="C66" i="23" s="1"/>
  <c r="C67" i="23" s="1"/>
  <c r="C68" i="23" s="1"/>
  <c r="I27" i="23"/>
  <c r="H27" i="23"/>
  <c r="G27" i="23"/>
  <c r="F27" i="23"/>
  <c r="E27" i="23"/>
  <c r="D27" i="23"/>
  <c r="C27" i="23"/>
  <c r="B27" i="23"/>
  <c r="A27" i="23"/>
  <c r="I26" i="23"/>
  <c r="H26" i="23"/>
  <c r="G26" i="23"/>
  <c r="F26" i="23"/>
  <c r="E26" i="23"/>
  <c r="D26" i="23"/>
  <c r="C26" i="23"/>
  <c r="B26" i="23"/>
  <c r="A26" i="23"/>
  <c r="I25" i="23"/>
  <c r="H25" i="23"/>
  <c r="G25" i="23"/>
  <c r="F25" i="23"/>
  <c r="E25" i="23"/>
  <c r="D25" i="23"/>
  <c r="C25" i="23"/>
  <c r="B25" i="23"/>
  <c r="A25" i="23"/>
  <c r="I24" i="23"/>
  <c r="H24" i="23"/>
  <c r="G24" i="23"/>
  <c r="F24" i="23"/>
  <c r="E24" i="23"/>
  <c r="D24" i="23"/>
  <c r="C24" i="23"/>
  <c r="B24" i="23"/>
  <c r="A24" i="23"/>
  <c r="I23" i="23"/>
  <c r="H23" i="23"/>
  <c r="G23" i="23"/>
  <c r="F23" i="23"/>
  <c r="E23" i="23"/>
  <c r="D23" i="23"/>
  <c r="C23" i="23"/>
  <c r="B23" i="23"/>
  <c r="A23" i="23"/>
  <c r="I22" i="23"/>
  <c r="H22" i="23"/>
  <c r="G22" i="23"/>
  <c r="F22" i="23"/>
  <c r="E22" i="23"/>
  <c r="D22" i="23"/>
  <c r="C22" i="23"/>
  <c r="B22" i="23"/>
  <c r="A22" i="23"/>
  <c r="I21" i="23"/>
  <c r="H21" i="23"/>
  <c r="G21" i="23"/>
  <c r="F21" i="23"/>
  <c r="E21" i="23"/>
  <c r="D21" i="23"/>
  <c r="C21" i="23"/>
  <c r="B21" i="23"/>
  <c r="A21" i="23"/>
  <c r="I20" i="23"/>
  <c r="E20" i="23"/>
  <c r="D20" i="23"/>
  <c r="C20" i="23"/>
  <c r="B20" i="23"/>
  <c r="A20" i="23"/>
  <c r="I19" i="23"/>
  <c r="H19" i="23"/>
  <c r="G19" i="23"/>
  <c r="F19" i="23"/>
  <c r="E19" i="23"/>
  <c r="D19" i="23"/>
  <c r="C19" i="23"/>
  <c r="B19" i="23"/>
  <c r="A19" i="23"/>
  <c r="I18" i="23"/>
  <c r="H18" i="23"/>
  <c r="G18" i="23"/>
  <c r="F18" i="23"/>
  <c r="E18" i="23"/>
  <c r="D18" i="23"/>
  <c r="C18" i="23"/>
  <c r="B18" i="23"/>
  <c r="A18" i="23"/>
  <c r="I17" i="23"/>
  <c r="H17" i="23"/>
  <c r="G17" i="23"/>
  <c r="F17" i="23"/>
  <c r="E17" i="23"/>
  <c r="D17" i="23"/>
  <c r="C17" i="23"/>
  <c r="B17" i="23"/>
  <c r="A17" i="23"/>
  <c r="I16" i="23"/>
  <c r="H16" i="23"/>
  <c r="G16" i="23"/>
  <c r="F16" i="23"/>
  <c r="E16" i="23"/>
  <c r="D16" i="23"/>
  <c r="C16" i="23"/>
  <c r="B16" i="23"/>
  <c r="A16" i="23"/>
  <c r="I15" i="23"/>
  <c r="H15" i="23"/>
  <c r="G15" i="23"/>
  <c r="F15" i="23"/>
  <c r="E15" i="23"/>
  <c r="D15" i="23"/>
  <c r="C15" i="23"/>
  <c r="B15" i="23"/>
  <c r="A15" i="23"/>
  <c r="I14" i="23"/>
  <c r="H14" i="23"/>
  <c r="G14" i="23"/>
  <c r="F14" i="23"/>
  <c r="E14" i="23"/>
  <c r="D14" i="23"/>
  <c r="C14" i="23"/>
  <c r="B14" i="23"/>
  <c r="A14" i="23"/>
  <c r="I13" i="23"/>
  <c r="H13" i="23"/>
  <c r="G13" i="23"/>
  <c r="F13" i="23"/>
  <c r="E13" i="23"/>
  <c r="D13" i="23"/>
  <c r="C13" i="23"/>
  <c r="B13" i="23"/>
  <c r="A13" i="23"/>
  <c r="I12" i="23"/>
  <c r="H12" i="23"/>
  <c r="G12" i="23"/>
  <c r="F12" i="23"/>
  <c r="E12" i="23"/>
  <c r="D12" i="23"/>
  <c r="C12" i="23"/>
  <c r="B12" i="23"/>
  <c r="A12" i="23"/>
  <c r="I11" i="23"/>
  <c r="H11" i="23"/>
  <c r="G11" i="23"/>
  <c r="F11" i="23"/>
  <c r="E11" i="23"/>
  <c r="D11" i="23"/>
  <c r="C11" i="23"/>
  <c r="B11" i="23"/>
  <c r="A11" i="23"/>
  <c r="I10" i="23"/>
  <c r="H10" i="23"/>
  <c r="G10" i="23"/>
  <c r="F10" i="23"/>
  <c r="E10" i="23"/>
  <c r="D10" i="23"/>
  <c r="C10" i="23"/>
  <c r="B10" i="23"/>
  <c r="A10" i="23"/>
  <c r="H9" i="23"/>
  <c r="G9" i="23"/>
  <c r="F9" i="23"/>
  <c r="E9" i="23"/>
  <c r="D9" i="23"/>
  <c r="C9" i="23"/>
  <c r="B9" i="23"/>
  <c r="A9" i="23"/>
  <c r="I8" i="23"/>
  <c r="H8" i="23"/>
  <c r="G8" i="23"/>
  <c r="F8" i="23"/>
  <c r="E8" i="23"/>
  <c r="D8" i="23"/>
  <c r="C8" i="23"/>
  <c r="B8" i="23"/>
  <c r="A8" i="23"/>
  <c r="I7" i="23"/>
  <c r="H7" i="23"/>
  <c r="G7" i="23"/>
  <c r="F7" i="23"/>
  <c r="E7" i="23"/>
  <c r="D7" i="23"/>
  <c r="C7" i="23"/>
  <c r="B7" i="23"/>
  <c r="A7" i="23"/>
  <c r="I6" i="23"/>
  <c r="H6" i="23"/>
  <c r="G6" i="23"/>
  <c r="F6" i="23"/>
  <c r="E6" i="23"/>
  <c r="D6" i="23"/>
  <c r="C6" i="23"/>
  <c r="B6" i="23"/>
  <c r="A6" i="23"/>
  <c r="I5" i="23"/>
  <c r="H5" i="23"/>
  <c r="G5" i="23"/>
  <c r="F5" i="23"/>
  <c r="E5" i="23"/>
  <c r="D5" i="23"/>
  <c r="C5" i="23"/>
  <c r="B5" i="23"/>
  <c r="A5" i="23"/>
  <c r="G31" i="9"/>
  <c r="I28" i="21"/>
  <c r="H28" i="21"/>
  <c r="G28" i="21"/>
  <c r="F28" i="21"/>
  <c r="E28" i="21"/>
  <c r="D28" i="21"/>
  <c r="C28" i="21"/>
  <c r="B28" i="21"/>
  <c r="A28" i="21"/>
  <c r="I27" i="21"/>
  <c r="H27" i="21"/>
  <c r="G27" i="21"/>
  <c r="F27" i="21"/>
  <c r="E27" i="21"/>
  <c r="D27" i="21"/>
  <c r="C27" i="21"/>
  <c r="B27" i="21"/>
  <c r="A27" i="21"/>
  <c r="I26" i="21"/>
  <c r="H26" i="21"/>
  <c r="G26" i="21"/>
  <c r="F26" i="21"/>
  <c r="E26" i="21"/>
  <c r="D26" i="21"/>
  <c r="C26" i="21"/>
  <c r="B26" i="21"/>
  <c r="A26" i="21"/>
  <c r="I25" i="21"/>
  <c r="H25" i="21"/>
  <c r="G25" i="21"/>
  <c r="F25" i="21"/>
  <c r="E25" i="21"/>
  <c r="D25" i="21"/>
  <c r="C25" i="21"/>
  <c r="B25" i="21"/>
  <c r="A25" i="21"/>
  <c r="I24" i="21"/>
  <c r="H24" i="21"/>
  <c r="G24" i="21"/>
  <c r="F24" i="21"/>
  <c r="E24" i="21"/>
  <c r="D24" i="21"/>
  <c r="C24" i="21"/>
  <c r="B24" i="21"/>
  <c r="A24" i="21"/>
  <c r="I23" i="21"/>
  <c r="H23" i="21"/>
  <c r="G23" i="21"/>
  <c r="F23" i="21"/>
  <c r="E23" i="21"/>
  <c r="D23" i="21"/>
  <c r="C23" i="21"/>
  <c r="B23" i="21"/>
  <c r="A23" i="21"/>
  <c r="I22" i="21"/>
  <c r="H22" i="21"/>
  <c r="G22" i="21"/>
  <c r="F22" i="21"/>
  <c r="E22" i="21"/>
  <c r="D22" i="21"/>
  <c r="C22" i="21"/>
  <c r="B22" i="21"/>
  <c r="A22" i="21"/>
  <c r="I21" i="21"/>
  <c r="H21" i="21"/>
  <c r="G21" i="21"/>
  <c r="F21" i="21"/>
  <c r="E21" i="21"/>
  <c r="D21" i="21"/>
  <c r="C21" i="21"/>
  <c r="B21" i="21"/>
  <c r="A21" i="21"/>
  <c r="I20" i="21"/>
  <c r="E20" i="21"/>
  <c r="D20" i="21"/>
  <c r="C20" i="21"/>
  <c r="B20" i="21"/>
  <c r="A20" i="21"/>
  <c r="I19" i="21"/>
  <c r="H19" i="21"/>
  <c r="G19" i="21"/>
  <c r="F19" i="21"/>
  <c r="E19" i="21"/>
  <c r="D19" i="21"/>
  <c r="C19" i="21"/>
  <c r="B19" i="21"/>
  <c r="A19" i="21"/>
  <c r="I18" i="21"/>
  <c r="H18" i="21"/>
  <c r="G18" i="21"/>
  <c r="F18" i="21"/>
  <c r="E18" i="21"/>
  <c r="D18" i="21"/>
  <c r="C18" i="21"/>
  <c r="B18" i="21"/>
  <c r="A18" i="21"/>
  <c r="I17" i="21"/>
  <c r="H17" i="21"/>
  <c r="G17" i="21"/>
  <c r="F17" i="21"/>
  <c r="E17" i="21"/>
  <c r="D17" i="21"/>
  <c r="C17" i="21"/>
  <c r="B17" i="21"/>
  <c r="A17" i="21"/>
  <c r="I16" i="21"/>
  <c r="H16" i="21"/>
  <c r="G16" i="21"/>
  <c r="F16" i="21"/>
  <c r="E16" i="21"/>
  <c r="D16" i="21"/>
  <c r="C16" i="21"/>
  <c r="B16" i="21"/>
  <c r="A16" i="21"/>
  <c r="I15" i="21"/>
  <c r="H15" i="21"/>
  <c r="G15" i="21"/>
  <c r="F15" i="21"/>
  <c r="E15" i="21"/>
  <c r="D15" i="21"/>
  <c r="C15" i="21"/>
  <c r="B15" i="21"/>
  <c r="A15" i="21"/>
  <c r="I14" i="21"/>
  <c r="H14" i="21"/>
  <c r="G14" i="21"/>
  <c r="F14" i="21"/>
  <c r="E14" i="21"/>
  <c r="D14" i="21"/>
  <c r="C14" i="21"/>
  <c r="B14" i="21"/>
  <c r="A14" i="21"/>
  <c r="I13" i="21"/>
  <c r="H13" i="21"/>
  <c r="G13" i="21"/>
  <c r="F13" i="21"/>
  <c r="E13" i="21"/>
  <c r="C13" i="21"/>
  <c r="B13" i="21"/>
  <c r="A13" i="21"/>
  <c r="I12" i="21"/>
  <c r="H12" i="21"/>
  <c r="G12" i="21"/>
  <c r="F12" i="21"/>
  <c r="E12" i="21"/>
  <c r="D12" i="21"/>
  <c r="C12" i="21"/>
  <c r="B12" i="21"/>
  <c r="A12" i="21"/>
  <c r="I11" i="21"/>
  <c r="H11" i="21"/>
  <c r="G11" i="21"/>
  <c r="F11" i="21"/>
  <c r="E11" i="21"/>
  <c r="D11" i="21"/>
  <c r="C11" i="21"/>
  <c r="B11" i="21"/>
  <c r="A11" i="21"/>
  <c r="I10" i="21"/>
  <c r="H10" i="21"/>
  <c r="G10" i="21"/>
  <c r="F10" i="21"/>
  <c r="E10" i="21"/>
  <c r="D10" i="21"/>
  <c r="C10" i="21"/>
  <c r="B10" i="21"/>
  <c r="A10" i="21"/>
  <c r="H9" i="21"/>
  <c r="G9" i="21"/>
  <c r="F9" i="21"/>
  <c r="E9" i="21"/>
  <c r="D9" i="21"/>
  <c r="C9" i="21"/>
  <c r="B9" i="21"/>
  <c r="A9" i="21"/>
  <c r="I8" i="21"/>
  <c r="H8" i="21"/>
  <c r="G8" i="21"/>
  <c r="F8" i="21"/>
  <c r="E8" i="21"/>
  <c r="D8" i="21"/>
  <c r="C8" i="21"/>
  <c r="B8" i="21"/>
  <c r="A8" i="21"/>
  <c r="I7" i="21"/>
  <c r="H7" i="21"/>
  <c r="G7" i="21"/>
  <c r="F7" i="21"/>
  <c r="E7" i="21"/>
  <c r="D7" i="21"/>
  <c r="C7" i="21"/>
  <c r="B7" i="21"/>
  <c r="A7" i="21"/>
  <c r="I6" i="21"/>
  <c r="H6" i="21"/>
  <c r="G6" i="21"/>
  <c r="F6" i="21"/>
  <c r="E6" i="21"/>
  <c r="D6" i="21"/>
  <c r="C6" i="21"/>
  <c r="B6" i="21"/>
  <c r="A6" i="21"/>
  <c r="I5" i="21"/>
  <c r="H5" i="21"/>
  <c r="G5" i="21"/>
  <c r="F5" i="21"/>
  <c r="E5" i="21"/>
  <c r="D5" i="21"/>
  <c r="C5" i="21"/>
  <c r="B5" i="21"/>
  <c r="A5" i="21"/>
  <c r="C30" i="22"/>
  <c r="C31" i="22" s="1"/>
  <c r="C32" i="22" s="1"/>
  <c r="C33" i="22" s="1"/>
  <c r="C34" i="22" s="1"/>
  <c r="I27" i="22"/>
  <c r="H27" i="22"/>
  <c r="G27" i="22"/>
  <c r="F27" i="22"/>
  <c r="E27" i="22"/>
  <c r="D27" i="22"/>
  <c r="C27" i="22"/>
  <c r="B27" i="22"/>
  <c r="A27" i="22"/>
  <c r="I26" i="22"/>
  <c r="H26" i="22"/>
  <c r="G26" i="22"/>
  <c r="F26" i="22"/>
  <c r="E26" i="22"/>
  <c r="D26" i="22"/>
  <c r="C26" i="22"/>
  <c r="B26" i="22"/>
  <c r="A26" i="22"/>
  <c r="I25" i="22"/>
  <c r="H25" i="22"/>
  <c r="G25" i="22"/>
  <c r="F25" i="22"/>
  <c r="E25" i="22"/>
  <c r="D25" i="22"/>
  <c r="C25" i="22"/>
  <c r="B25" i="22"/>
  <c r="A25" i="22"/>
  <c r="I24" i="22"/>
  <c r="H24" i="22"/>
  <c r="G24" i="22"/>
  <c r="F24" i="22"/>
  <c r="E24" i="22"/>
  <c r="D24" i="22"/>
  <c r="C24" i="22"/>
  <c r="B24" i="22"/>
  <c r="A24" i="22"/>
  <c r="I23" i="22"/>
  <c r="H23" i="22"/>
  <c r="G23" i="22"/>
  <c r="F23" i="22"/>
  <c r="E23" i="22"/>
  <c r="D23" i="22"/>
  <c r="C23" i="22"/>
  <c r="B23" i="22"/>
  <c r="A23" i="22"/>
  <c r="I22" i="22"/>
  <c r="H22" i="22"/>
  <c r="G22" i="22"/>
  <c r="F22" i="22"/>
  <c r="E22" i="22"/>
  <c r="D22" i="22"/>
  <c r="C22" i="22"/>
  <c r="B22" i="22"/>
  <c r="A22" i="22"/>
  <c r="I21" i="22"/>
  <c r="H21" i="22"/>
  <c r="G21" i="22"/>
  <c r="F21" i="22"/>
  <c r="E21" i="22"/>
  <c r="D21" i="22"/>
  <c r="C21" i="22"/>
  <c r="B21" i="22"/>
  <c r="A21" i="22"/>
  <c r="I20" i="22"/>
  <c r="E20" i="22"/>
  <c r="D20" i="22"/>
  <c r="C20" i="22"/>
  <c r="B20" i="22"/>
  <c r="A20" i="22"/>
  <c r="I19" i="22"/>
  <c r="H19" i="22"/>
  <c r="G19" i="22"/>
  <c r="F19" i="22"/>
  <c r="E19" i="22"/>
  <c r="D19" i="22"/>
  <c r="C19" i="22"/>
  <c r="B19" i="22"/>
  <c r="A19" i="22"/>
  <c r="I18" i="22"/>
  <c r="H18" i="22"/>
  <c r="G18" i="22"/>
  <c r="F18" i="22"/>
  <c r="E18" i="22"/>
  <c r="D18" i="22"/>
  <c r="C18" i="22"/>
  <c r="B18" i="22"/>
  <c r="A18" i="22"/>
  <c r="I17" i="22"/>
  <c r="H17" i="22"/>
  <c r="G17" i="22"/>
  <c r="F17" i="22"/>
  <c r="E17" i="22"/>
  <c r="D17" i="22"/>
  <c r="C17" i="22"/>
  <c r="B17" i="22"/>
  <c r="A17" i="22"/>
  <c r="I16" i="22"/>
  <c r="H16" i="22"/>
  <c r="G16" i="22"/>
  <c r="F16" i="22"/>
  <c r="E16" i="22"/>
  <c r="D16" i="22"/>
  <c r="C16" i="22"/>
  <c r="B16" i="22"/>
  <c r="A16" i="22"/>
  <c r="I15" i="22"/>
  <c r="H15" i="22"/>
  <c r="G15" i="22"/>
  <c r="F15" i="22"/>
  <c r="E15" i="22"/>
  <c r="D15" i="22"/>
  <c r="C15" i="22"/>
  <c r="B15" i="22"/>
  <c r="A15" i="22"/>
  <c r="I14" i="22"/>
  <c r="H14" i="22"/>
  <c r="G14" i="22"/>
  <c r="F14" i="22"/>
  <c r="E14" i="22"/>
  <c r="D14" i="22"/>
  <c r="C14" i="22"/>
  <c r="B14" i="22"/>
  <c r="A14" i="22"/>
  <c r="I13" i="22"/>
  <c r="H13" i="22"/>
  <c r="G13" i="22"/>
  <c r="F13" i="22"/>
  <c r="E13" i="22"/>
  <c r="D13" i="22"/>
  <c r="C13" i="22"/>
  <c r="B13" i="22"/>
  <c r="A13" i="22"/>
  <c r="I12" i="22"/>
  <c r="H12" i="22"/>
  <c r="G12" i="22"/>
  <c r="F12" i="22"/>
  <c r="E12" i="22"/>
  <c r="D12" i="22"/>
  <c r="C12" i="22"/>
  <c r="B12" i="22"/>
  <c r="A12" i="22"/>
  <c r="I11" i="22"/>
  <c r="H11" i="22"/>
  <c r="G11" i="22"/>
  <c r="F11" i="22"/>
  <c r="E11" i="22"/>
  <c r="D11" i="22"/>
  <c r="C11" i="22"/>
  <c r="B11" i="22"/>
  <c r="A11" i="22"/>
  <c r="I10" i="22"/>
  <c r="H10" i="22"/>
  <c r="G10" i="22"/>
  <c r="F10" i="22"/>
  <c r="E10" i="22"/>
  <c r="D10" i="22"/>
  <c r="C10" i="22"/>
  <c r="B10" i="22"/>
  <c r="A10" i="22"/>
  <c r="H9" i="22"/>
  <c r="G9" i="22"/>
  <c r="F9" i="22"/>
  <c r="E9" i="22"/>
  <c r="D9" i="22"/>
  <c r="C9" i="22"/>
  <c r="B9" i="22"/>
  <c r="A9" i="22"/>
  <c r="I8" i="22"/>
  <c r="H8" i="22"/>
  <c r="G8" i="22"/>
  <c r="F8" i="22"/>
  <c r="E8" i="22"/>
  <c r="D8" i="22"/>
  <c r="C8" i="22"/>
  <c r="B8" i="22"/>
  <c r="A8" i="22"/>
  <c r="I7" i="22"/>
  <c r="H7" i="22"/>
  <c r="G7" i="22"/>
  <c r="F7" i="22"/>
  <c r="E7" i="22"/>
  <c r="D7" i="22"/>
  <c r="C7" i="22"/>
  <c r="B7" i="22"/>
  <c r="A7" i="22"/>
  <c r="I6" i="22"/>
  <c r="H6" i="22"/>
  <c r="G6" i="22"/>
  <c r="F6" i="22"/>
  <c r="E6" i="22"/>
  <c r="D6" i="22"/>
  <c r="C6" i="22"/>
  <c r="B6" i="22"/>
  <c r="A6" i="22"/>
  <c r="I5" i="22"/>
  <c r="H5" i="22"/>
  <c r="G5" i="22"/>
  <c r="F5" i="22"/>
  <c r="E5" i="22"/>
  <c r="D5" i="22"/>
  <c r="C5" i="22"/>
  <c r="B5" i="22"/>
  <c r="A5" i="22"/>
  <c r="C31" i="21"/>
  <c r="C32" i="21" s="1"/>
  <c r="C33" i="21" s="1"/>
  <c r="C34" i="21" s="1"/>
  <c r="C35" i="21" s="1"/>
  <c r="C36" i="21" s="1"/>
  <c r="C37" i="21" s="1"/>
  <c r="C38" i="21" s="1"/>
  <c r="C39" i="21" s="1"/>
  <c r="C40" i="21" s="1"/>
  <c r="C41" i="21" s="1"/>
  <c r="C42" i="21" s="1"/>
  <c r="C43" i="21" s="1"/>
  <c r="C44" i="21" s="1"/>
  <c r="C45" i="21" s="1"/>
  <c r="C46" i="21" s="1"/>
  <c r="C47" i="21" s="1"/>
  <c r="C48" i="21" s="1"/>
  <c r="C49" i="21" s="1"/>
  <c r="C50" i="21" s="1"/>
  <c r="C51" i="21" s="1"/>
  <c r="C52" i="21" s="1"/>
  <c r="C53" i="21" s="1"/>
  <c r="C54" i="21" s="1"/>
  <c r="C55" i="21" s="1"/>
  <c r="C56" i="21" s="1"/>
  <c r="C57" i="21" s="1"/>
  <c r="C58" i="21" s="1"/>
  <c r="C59" i="21" s="1"/>
  <c r="C60" i="21" s="1"/>
  <c r="C61" i="21" s="1"/>
  <c r="C62" i="21" s="1"/>
  <c r="C63" i="21" s="1"/>
  <c r="C64" i="21" s="1"/>
  <c r="C65" i="21" s="1"/>
  <c r="C66" i="21" s="1"/>
  <c r="C67" i="21" s="1"/>
  <c r="C68" i="21" s="1"/>
  <c r="C69" i="21" s="1"/>
  <c r="C70" i="21" s="1"/>
  <c r="C71" i="21" s="1"/>
  <c r="C72" i="21" s="1"/>
  <c r="C73" i="21" s="1"/>
  <c r="C74" i="21" s="1"/>
  <c r="C75" i="21" s="1"/>
  <c r="C76" i="21" s="1"/>
  <c r="C77" i="21" s="1"/>
  <c r="C78" i="21" s="1"/>
  <c r="C79" i="21" s="1"/>
  <c r="C80" i="21" s="1"/>
  <c r="C81" i="21" s="1"/>
  <c r="C82" i="21" s="1"/>
  <c r="C83" i="21" s="1"/>
  <c r="C84" i="21" s="1"/>
  <c r="C85" i="21" s="1"/>
  <c r="C86" i="21" s="1"/>
  <c r="C87" i="21" s="1"/>
  <c r="C88" i="21" s="1"/>
  <c r="C89" i="21" s="1"/>
  <c r="C90" i="21" s="1"/>
  <c r="C91" i="21" s="1"/>
  <c r="C92" i="21" s="1"/>
  <c r="C93" i="21" s="1"/>
  <c r="C94" i="21" s="1"/>
  <c r="C95" i="21" s="1"/>
  <c r="C96" i="21" s="1"/>
  <c r="C97" i="21" s="1"/>
  <c r="C98" i="21" s="1"/>
  <c r="C99" i="21" s="1"/>
  <c r="C100" i="21" s="1"/>
  <c r="C101" i="21" s="1"/>
  <c r="C102" i="21" s="1"/>
  <c r="C103" i="21" s="1"/>
  <c r="C104" i="21" s="1"/>
  <c r="C105" i="21" s="1"/>
  <c r="C106" i="21" s="1"/>
  <c r="C107" i="21" s="1"/>
  <c r="C108" i="21" s="1"/>
  <c r="C109" i="21" s="1"/>
  <c r="C110" i="21" s="1"/>
  <c r="C111" i="21" s="1"/>
  <c r="C112" i="21" s="1"/>
  <c r="C113" i="21" s="1"/>
  <c r="C114" i="21" s="1"/>
  <c r="C115" i="21" s="1"/>
  <c r="C116" i="21" s="1"/>
  <c r="C117" i="21" s="1"/>
  <c r="C118" i="21" s="1"/>
  <c r="C119" i="21" s="1"/>
  <c r="C120" i="21" s="1"/>
  <c r="C121" i="21" s="1"/>
  <c r="C122" i="21" s="1"/>
  <c r="C123" i="21" s="1"/>
  <c r="C124" i="21" s="1"/>
  <c r="C125" i="21" s="1"/>
  <c r="C126" i="21" s="1"/>
  <c r="C127" i="21" s="1"/>
  <c r="C128" i="21" s="1"/>
  <c r="C129" i="21" s="1"/>
  <c r="C130" i="21" s="1"/>
  <c r="C131" i="21" s="1"/>
  <c r="C132" i="21" s="1"/>
  <c r="C133" i="21" s="1"/>
  <c r="C134" i="21" s="1"/>
  <c r="C135" i="21" s="1"/>
  <c r="C136" i="21" s="1"/>
  <c r="C137" i="21" s="1"/>
  <c r="C138" i="21" s="1"/>
  <c r="C139" i="21" s="1"/>
  <c r="C140" i="21" s="1"/>
  <c r="C141" i="21" s="1"/>
  <c r="C142" i="21" s="1"/>
  <c r="C143" i="21" s="1"/>
  <c r="C144" i="21" s="1"/>
  <c r="C145" i="21" s="1"/>
  <c r="C146" i="21" s="1"/>
  <c r="C147" i="21" s="1"/>
  <c r="C148" i="21" s="1"/>
  <c r="C149" i="21" s="1"/>
  <c r="C150" i="21" s="1"/>
  <c r="C151" i="21" s="1"/>
  <c r="C152" i="21" s="1"/>
  <c r="C153" i="21" s="1"/>
  <c r="C154" i="21" s="1"/>
  <c r="C155" i="21" s="1"/>
  <c r="C156" i="21" s="1"/>
  <c r="C157" i="21" s="1"/>
  <c r="C158" i="21" s="1"/>
  <c r="C159" i="21" s="1"/>
  <c r="C38" i="22" l="1"/>
  <c r="C39" i="22" s="1"/>
  <c r="C40" i="22" s="1"/>
  <c r="C41" i="22" s="1"/>
  <c r="C42" i="22" s="1"/>
  <c r="C43" i="22" s="1"/>
  <c r="C44" i="22" s="1"/>
  <c r="C45" i="22" s="1"/>
  <c r="C46" i="22" s="1"/>
  <c r="C47" i="22" s="1"/>
  <c r="C48" i="22" s="1"/>
  <c r="C49" i="22" s="1"/>
  <c r="C50" i="22" s="1"/>
  <c r="C51" i="22" s="1"/>
  <c r="C52" i="22" s="1"/>
  <c r="C53" i="22" s="1"/>
  <c r="C54" i="22" s="1"/>
  <c r="C55" i="22" s="1"/>
  <c r="C56" i="22" s="1"/>
  <c r="C57" i="22" s="1"/>
  <c r="C58" i="22" s="1"/>
  <c r="C59" i="22" s="1"/>
  <c r="C60" i="22" s="1"/>
  <c r="C61" i="22" s="1"/>
  <c r="C62" i="22" s="1"/>
  <c r="C63" i="22" s="1"/>
  <c r="C64" i="22" s="1"/>
  <c r="C65" i="22" s="1"/>
  <c r="C66" i="22" s="1"/>
  <c r="C67" i="22" s="1"/>
  <c r="C68" i="22" s="1"/>
  <c r="C69" i="22" s="1"/>
  <c r="I28" i="3"/>
  <c r="H28" i="3"/>
  <c r="G28" i="3"/>
  <c r="F28" i="3"/>
  <c r="E28" i="3"/>
  <c r="D28" i="3"/>
  <c r="C28" i="3"/>
  <c r="B28" i="3"/>
  <c r="A28" i="3"/>
  <c r="I27" i="3"/>
  <c r="H27" i="3"/>
  <c r="G27" i="3"/>
  <c r="F27" i="3"/>
  <c r="E27" i="3"/>
  <c r="D27" i="3"/>
  <c r="C27" i="3"/>
  <c r="B27" i="3"/>
  <c r="A27" i="3"/>
  <c r="I26" i="3"/>
  <c r="H26" i="3"/>
  <c r="G26" i="3"/>
  <c r="F26" i="3"/>
  <c r="E26" i="3"/>
  <c r="D26" i="3"/>
  <c r="C26" i="3"/>
  <c r="B26" i="3"/>
  <c r="A26" i="3"/>
  <c r="I25" i="3"/>
  <c r="H25" i="3"/>
  <c r="G25" i="3"/>
  <c r="F25" i="3"/>
  <c r="E25" i="3"/>
  <c r="D25" i="3"/>
  <c r="C25" i="3"/>
  <c r="B25" i="3"/>
  <c r="A25" i="3"/>
  <c r="I24" i="3"/>
  <c r="H24" i="3"/>
  <c r="G24" i="3"/>
  <c r="F24" i="3"/>
  <c r="E24" i="3"/>
  <c r="D24" i="3"/>
  <c r="C24" i="3"/>
  <c r="B24" i="3"/>
  <c r="A24" i="3"/>
  <c r="I23" i="3"/>
  <c r="H23" i="3"/>
  <c r="G23" i="3"/>
  <c r="F23" i="3"/>
  <c r="E23" i="3"/>
  <c r="D23" i="3"/>
  <c r="C23" i="3"/>
  <c r="B23" i="3"/>
  <c r="A23" i="3"/>
  <c r="I22" i="3"/>
  <c r="H22" i="3"/>
  <c r="G22" i="3"/>
  <c r="F22" i="3"/>
  <c r="E22" i="3"/>
  <c r="D22" i="3"/>
  <c r="C22" i="3"/>
  <c r="B22" i="3"/>
  <c r="A22" i="3"/>
  <c r="I21" i="3"/>
  <c r="H21" i="3"/>
  <c r="G21" i="3"/>
  <c r="F21" i="3"/>
  <c r="E21" i="3"/>
  <c r="D21" i="3"/>
  <c r="C21" i="3"/>
  <c r="B21" i="3"/>
  <c r="A21" i="3"/>
  <c r="I20" i="3"/>
  <c r="E20" i="3"/>
  <c r="D20" i="3"/>
  <c r="C20" i="3"/>
  <c r="B20" i="3"/>
  <c r="A20" i="3"/>
  <c r="I19" i="3"/>
  <c r="H19" i="3"/>
  <c r="G19" i="3"/>
  <c r="F19" i="3"/>
  <c r="E19" i="3"/>
  <c r="D19" i="3"/>
  <c r="C19" i="3"/>
  <c r="B19" i="3"/>
  <c r="A19" i="3"/>
  <c r="I18" i="3"/>
  <c r="H18" i="3"/>
  <c r="G18" i="3"/>
  <c r="F18" i="3"/>
  <c r="E18" i="3"/>
  <c r="D18" i="3"/>
  <c r="C18" i="3"/>
  <c r="B18" i="3"/>
  <c r="A18" i="3"/>
  <c r="I17" i="3"/>
  <c r="H17" i="3"/>
  <c r="G17" i="3"/>
  <c r="F17" i="3"/>
  <c r="E17" i="3"/>
  <c r="D17" i="3"/>
  <c r="C17" i="3"/>
  <c r="B17" i="3"/>
  <c r="A17" i="3"/>
  <c r="I16" i="3"/>
  <c r="H16" i="3"/>
  <c r="G16" i="3"/>
  <c r="F16" i="3"/>
  <c r="E16" i="3"/>
  <c r="D16" i="3"/>
  <c r="C16" i="3"/>
  <c r="B16" i="3"/>
  <c r="A16" i="3"/>
  <c r="I15" i="3"/>
  <c r="H15" i="3"/>
  <c r="G15" i="3"/>
  <c r="F15" i="3"/>
  <c r="E15" i="3"/>
  <c r="D15" i="3"/>
  <c r="C15" i="3"/>
  <c r="B15" i="3"/>
  <c r="A15" i="3"/>
  <c r="I14" i="3"/>
  <c r="H14" i="3"/>
  <c r="G14" i="3"/>
  <c r="F14" i="3"/>
  <c r="E14" i="3"/>
  <c r="D14" i="3"/>
  <c r="C14" i="3"/>
  <c r="B14" i="3"/>
  <c r="A14" i="3"/>
  <c r="I13" i="3"/>
  <c r="H13" i="3"/>
  <c r="G13" i="3"/>
  <c r="F13" i="3"/>
  <c r="E13" i="3"/>
  <c r="C13" i="3"/>
  <c r="B13" i="3"/>
  <c r="A13" i="3"/>
  <c r="I12" i="3"/>
  <c r="H12" i="3"/>
  <c r="G12" i="3"/>
  <c r="F12" i="3"/>
  <c r="E12" i="3"/>
  <c r="D12" i="3"/>
  <c r="C12" i="3"/>
  <c r="B12" i="3"/>
  <c r="A12" i="3"/>
  <c r="I11" i="3"/>
  <c r="H11" i="3"/>
  <c r="G11" i="3"/>
  <c r="F11" i="3"/>
  <c r="E11" i="3"/>
  <c r="D11" i="3"/>
  <c r="C11" i="3"/>
  <c r="B11" i="3"/>
  <c r="A11" i="3"/>
  <c r="I10" i="3"/>
  <c r="H10" i="3"/>
  <c r="G10" i="3"/>
  <c r="F10" i="3"/>
  <c r="E10" i="3"/>
  <c r="D10" i="3"/>
  <c r="C10" i="3"/>
  <c r="B10" i="3"/>
  <c r="A10" i="3"/>
  <c r="H9" i="3"/>
  <c r="G9" i="3"/>
  <c r="F9" i="3"/>
  <c r="E9" i="3"/>
  <c r="D9" i="3"/>
  <c r="C9" i="3"/>
  <c r="B9" i="3"/>
  <c r="A9" i="3"/>
  <c r="I8" i="3"/>
  <c r="H8" i="3"/>
  <c r="G8" i="3"/>
  <c r="F8" i="3"/>
  <c r="E8" i="3"/>
  <c r="D8" i="3"/>
  <c r="C8" i="3"/>
  <c r="B8" i="3"/>
  <c r="A8" i="3"/>
  <c r="I7" i="3"/>
  <c r="H7" i="3"/>
  <c r="G7" i="3"/>
  <c r="F7" i="3"/>
  <c r="E7" i="3"/>
  <c r="D7" i="3"/>
  <c r="C7" i="3"/>
  <c r="B7" i="3"/>
  <c r="A7" i="3"/>
  <c r="I6" i="3"/>
  <c r="H6" i="3"/>
  <c r="G6" i="3"/>
  <c r="F6" i="3"/>
  <c r="E6" i="3"/>
  <c r="D6" i="3"/>
  <c r="C6" i="3"/>
  <c r="B6" i="3"/>
  <c r="A6" i="3"/>
  <c r="I5" i="3"/>
  <c r="H5" i="3"/>
  <c r="G5" i="3"/>
  <c r="F5" i="3"/>
  <c r="E5" i="3"/>
  <c r="D5" i="3"/>
  <c r="C5" i="3"/>
  <c r="B5" i="3"/>
  <c r="A5" i="3"/>
  <c r="G38" i="9"/>
  <c r="G37" i="9"/>
  <c r="G36" i="9"/>
  <c r="G35" i="9"/>
  <c r="G14" i="9"/>
  <c r="E19" i="8"/>
  <c r="G34" i="9"/>
  <c r="G33" i="9"/>
  <c r="G32" i="9"/>
  <c r="G30" i="9"/>
  <c r="C40" i="10"/>
  <c r="C158" i="6"/>
  <c r="C35" i="14"/>
  <c r="C63" i="1"/>
  <c r="C64" i="1" s="1"/>
  <c r="C65" i="1" s="1"/>
  <c r="C76" i="16"/>
  <c r="C75" i="16"/>
  <c r="C74" i="16"/>
  <c r="C73" i="16"/>
  <c r="I28" i="20"/>
  <c r="H28" i="20"/>
  <c r="G28" i="20"/>
  <c r="F28" i="20"/>
  <c r="E28" i="20"/>
  <c r="D28" i="20"/>
  <c r="C28" i="20"/>
  <c r="B28" i="20"/>
  <c r="A28" i="20"/>
  <c r="C156" i="6"/>
  <c r="C157" i="6"/>
  <c r="C155" i="6"/>
  <c r="C154" i="6"/>
  <c r="C28" i="6"/>
  <c r="B28" i="6"/>
  <c r="C30" i="20"/>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C51" i="20" s="1"/>
  <c r="C52" i="20" s="1"/>
  <c r="C53" i="20" s="1"/>
  <c r="C54" i="20" s="1"/>
  <c r="C55" i="20" s="1"/>
  <c r="C56" i="20" s="1"/>
  <c r="C57" i="20" s="1"/>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81" i="20" s="1"/>
  <c r="C82" i="20" s="1"/>
  <c r="C83" i="20" s="1"/>
  <c r="C84" i="20" s="1"/>
  <c r="C85" i="20" s="1"/>
  <c r="C86" i="20" s="1"/>
  <c r="C87" i="20" s="1"/>
  <c r="C88" i="20" s="1"/>
  <c r="C89" i="20" s="1"/>
  <c r="C90" i="20" s="1"/>
  <c r="C91" i="20" s="1"/>
  <c r="C92" i="20" s="1"/>
  <c r="C93" i="20" s="1"/>
  <c r="C94" i="20" s="1"/>
  <c r="C95" i="20" s="1"/>
  <c r="C96" i="20" s="1"/>
  <c r="C97" i="20" s="1"/>
  <c r="C98" i="20" s="1"/>
  <c r="C99" i="20" s="1"/>
  <c r="C100" i="20" s="1"/>
  <c r="C101" i="20" s="1"/>
  <c r="C102" i="20" s="1"/>
  <c r="C103" i="20" s="1"/>
  <c r="C104" i="20" s="1"/>
  <c r="C105" i="20" s="1"/>
  <c r="C106" i="20" s="1"/>
  <c r="C107" i="20" s="1"/>
  <c r="C108" i="20" s="1"/>
  <c r="C109" i="20" s="1"/>
  <c r="C110" i="20" s="1"/>
  <c r="C111" i="20" s="1"/>
  <c r="C112" i="20" s="1"/>
  <c r="C113" i="20" s="1"/>
  <c r="C114" i="20" s="1"/>
  <c r="C115" i="20" s="1"/>
  <c r="C116" i="20" s="1"/>
  <c r="C117" i="20" s="1"/>
  <c r="C118" i="20" s="1"/>
  <c r="C119" i="20" s="1"/>
  <c r="C120" i="20" s="1"/>
  <c r="C121" i="20" s="1"/>
  <c r="C122" i="20" s="1"/>
  <c r="C123" i="20" s="1"/>
  <c r="C124" i="20" s="1"/>
  <c r="C125" i="20" s="1"/>
  <c r="C126" i="20" s="1"/>
  <c r="C127" i="20" s="1"/>
  <c r="C128" i="20" s="1"/>
  <c r="C129" i="20" s="1"/>
  <c r="C130" i="20" s="1"/>
  <c r="C131" i="20" s="1"/>
  <c r="C132" i="20" s="1"/>
  <c r="C133" i="20" s="1"/>
  <c r="C134" i="20" s="1"/>
  <c r="C135" i="20" s="1"/>
  <c r="C136" i="20" s="1"/>
  <c r="C137" i="20" s="1"/>
  <c r="C138" i="20" s="1"/>
  <c r="C139" i="20" s="1"/>
  <c r="C140" i="20" s="1"/>
  <c r="C141" i="20" s="1"/>
  <c r="C142" i="20" s="1"/>
  <c r="C143" i="20" s="1"/>
  <c r="C144" i="20" s="1"/>
  <c r="C145" i="20" s="1"/>
  <c r="C146" i="20" s="1"/>
  <c r="C147" i="20" s="1"/>
  <c r="C148" i="20" s="1"/>
  <c r="C149" i="20" s="1"/>
  <c r="C150" i="20" s="1"/>
  <c r="C151" i="20" s="1"/>
  <c r="C152" i="20" s="1"/>
  <c r="C153" i="20" s="1"/>
  <c r="C154" i="20" s="1"/>
  <c r="C155" i="20" s="1"/>
  <c r="C156" i="20" s="1"/>
  <c r="C157" i="20" s="1"/>
  <c r="C158" i="20" s="1"/>
  <c r="I27" i="20"/>
  <c r="H27" i="20"/>
  <c r="G27" i="20"/>
  <c r="F27" i="20"/>
  <c r="E27" i="20"/>
  <c r="D27" i="20"/>
  <c r="C27" i="20"/>
  <c r="B27" i="20"/>
  <c r="A27" i="20"/>
  <c r="I26" i="20"/>
  <c r="H26" i="20"/>
  <c r="G26" i="20"/>
  <c r="F26" i="20"/>
  <c r="E26" i="20"/>
  <c r="D26" i="20"/>
  <c r="C26" i="20"/>
  <c r="B26" i="20"/>
  <c r="A26" i="20"/>
  <c r="I25" i="20"/>
  <c r="H25" i="20"/>
  <c r="G25" i="20"/>
  <c r="F25" i="20"/>
  <c r="E25" i="20"/>
  <c r="D25" i="20"/>
  <c r="C25" i="20"/>
  <c r="B25" i="20"/>
  <c r="A25" i="20"/>
  <c r="I24" i="20"/>
  <c r="H24" i="20"/>
  <c r="G24" i="20"/>
  <c r="F24" i="20"/>
  <c r="E24" i="20"/>
  <c r="D24" i="20"/>
  <c r="C24" i="20"/>
  <c r="B24" i="20"/>
  <c r="A24" i="20"/>
  <c r="I23" i="20"/>
  <c r="H23" i="20"/>
  <c r="G23" i="20"/>
  <c r="F23" i="20"/>
  <c r="E23" i="20"/>
  <c r="D23" i="20"/>
  <c r="C23" i="20"/>
  <c r="B23" i="20"/>
  <c r="A23" i="20"/>
  <c r="I22" i="20"/>
  <c r="H22" i="20"/>
  <c r="G22" i="20"/>
  <c r="F22" i="20"/>
  <c r="E22" i="20"/>
  <c r="D22" i="20"/>
  <c r="C22" i="20"/>
  <c r="B22" i="20"/>
  <c r="A22" i="20"/>
  <c r="I21" i="20"/>
  <c r="H21" i="20"/>
  <c r="G21" i="20"/>
  <c r="F21" i="20"/>
  <c r="E21" i="20"/>
  <c r="D21" i="20"/>
  <c r="C21" i="20"/>
  <c r="B21" i="20"/>
  <c r="A21" i="20"/>
  <c r="I20" i="20"/>
  <c r="E20" i="20"/>
  <c r="D20" i="20"/>
  <c r="C20" i="20"/>
  <c r="B20" i="20"/>
  <c r="A20" i="20"/>
  <c r="I19" i="20"/>
  <c r="H19" i="20"/>
  <c r="G19" i="20"/>
  <c r="F19" i="20"/>
  <c r="E19" i="20"/>
  <c r="D19" i="20"/>
  <c r="C19" i="20"/>
  <c r="B19" i="20"/>
  <c r="A19" i="20"/>
  <c r="I18" i="20"/>
  <c r="H18" i="20"/>
  <c r="G18" i="20"/>
  <c r="F18" i="20"/>
  <c r="E18" i="20"/>
  <c r="D18" i="20"/>
  <c r="C18" i="20"/>
  <c r="B18" i="20"/>
  <c r="A18" i="20"/>
  <c r="I17" i="20"/>
  <c r="H17" i="20"/>
  <c r="G17" i="20"/>
  <c r="F17" i="20"/>
  <c r="E17" i="20"/>
  <c r="D17" i="20"/>
  <c r="C17" i="20"/>
  <c r="B17" i="20"/>
  <c r="A17" i="20"/>
  <c r="I16" i="20"/>
  <c r="H16" i="20"/>
  <c r="G16" i="20"/>
  <c r="F16" i="20"/>
  <c r="E16" i="20"/>
  <c r="D16" i="20"/>
  <c r="C16" i="20"/>
  <c r="B16" i="20"/>
  <c r="A16" i="20"/>
  <c r="I15" i="20"/>
  <c r="H15" i="20"/>
  <c r="G15" i="20"/>
  <c r="F15" i="20"/>
  <c r="E15" i="20"/>
  <c r="D15" i="20"/>
  <c r="C15" i="20"/>
  <c r="B15" i="20"/>
  <c r="A15" i="20"/>
  <c r="I14" i="20"/>
  <c r="H14" i="20"/>
  <c r="G14" i="20"/>
  <c r="F14" i="20"/>
  <c r="E14" i="20"/>
  <c r="D14" i="20"/>
  <c r="C14" i="20"/>
  <c r="B14" i="20"/>
  <c r="A14" i="20"/>
  <c r="I13" i="20"/>
  <c r="H13" i="20"/>
  <c r="G13" i="20"/>
  <c r="F13" i="20"/>
  <c r="E13" i="20"/>
  <c r="D13" i="20"/>
  <c r="C13" i="20"/>
  <c r="B13" i="20"/>
  <c r="A13" i="20"/>
  <c r="I12" i="20"/>
  <c r="H12" i="20"/>
  <c r="G12" i="20"/>
  <c r="F12" i="20"/>
  <c r="E12" i="20"/>
  <c r="D12" i="20"/>
  <c r="C12" i="20"/>
  <c r="B12" i="20"/>
  <c r="A12" i="20"/>
  <c r="I11" i="20"/>
  <c r="H11" i="20"/>
  <c r="G11" i="20"/>
  <c r="F11" i="20"/>
  <c r="E11" i="20"/>
  <c r="D11" i="20"/>
  <c r="C11" i="20"/>
  <c r="B11" i="20"/>
  <c r="A11" i="20"/>
  <c r="I10" i="20"/>
  <c r="H10" i="20"/>
  <c r="G10" i="20"/>
  <c r="F10" i="20"/>
  <c r="E10" i="20"/>
  <c r="D10" i="20"/>
  <c r="C10" i="20"/>
  <c r="B10" i="20"/>
  <c r="A10" i="20"/>
  <c r="H9" i="20"/>
  <c r="G9" i="20"/>
  <c r="F9" i="20"/>
  <c r="E9" i="20"/>
  <c r="D9" i="20"/>
  <c r="C9" i="20"/>
  <c r="B9" i="20"/>
  <c r="A9" i="20"/>
  <c r="I8" i="20"/>
  <c r="H8" i="20"/>
  <c r="G8" i="20"/>
  <c r="F8" i="20"/>
  <c r="E8" i="20"/>
  <c r="D8" i="20"/>
  <c r="C8" i="20"/>
  <c r="B8" i="20"/>
  <c r="A8" i="20"/>
  <c r="I7" i="20"/>
  <c r="H7" i="20"/>
  <c r="G7" i="20"/>
  <c r="F7" i="20"/>
  <c r="E7" i="20"/>
  <c r="D7" i="20"/>
  <c r="C7" i="20"/>
  <c r="B7" i="20"/>
  <c r="A7" i="20"/>
  <c r="I6" i="20"/>
  <c r="H6" i="20"/>
  <c r="G6" i="20"/>
  <c r="F6" i="20"/>
  <c r="E6" i="20"/>
  <c r="D6" i="20"/>
  <c r="C6" i="20"/>
  <c r="B6" i="20"/>
  <c r="A6" i="20"/>
  <c r="I5" i="20"/>
  <c r="H5" i="20"/>
  <c r="G5" i="20"/>
  <c r="F5" i="20"/>
  <c r="E5" i="20"/>
  <c r="D5" i="20"/>
  <c r="C5" i="20"/>
  <c r="B5" i="20"/>
  <c r="A5" i="20"/>
  <c r="I28" i="6"/>
  <c r="H28" i="6"/>
  <c r="G28" i="6"/>
  <c r="F28" i="6"/>
  <c r="E28" i="6"/>
  <c r="D28" i="6"/>
  <c r="A28" i="6"/>
  <c r="B27" i="6"/>
  <c r="A27" i="6"/>
  <c r="I39" i="18"/>
  <c r="H39" i="18"/>
  <c r="G39" i="18"/>
  <c r="F39" i="18"/>
  <c r="E39" i="18"/>
  <c r="D39" i="18"/>
  <c r="C39" i="18"/>
  <c r="B39" i="18"/>
  <c r="A39" i="18"/>
  <c r="I38" i="18"/>
  <c r="H38" i="18"/>
  <c r="G38" i="18"/>
  <c r="F38" i="18"/>
  <c r="E38" i="18"/>
  <c r="D38" i="18"/>
  <c r="C38" i="18"/>
  <c r="B38" i="18"/>
  <c r="A38" i="18"/>
  <c r="I37" i="18"/>
  <c r="H37" i="18"/>
  <c r="G37" i="18"/>
  <c r="F37" i="18"/>
  <c r="E37" i="18"/>
  <c r="D37" i="18"/>
  <c r="C37" i="18"/>
  <c r="B37" i="18"/>
  <c r="A37" i="18"/>
  <c r="I36" i="18"/>
  <c r="H36" i="18"/>
  <c r="G36" i="18"/>
  <c r="F36" i="18"/>
  <c r="E36" i="18"/>
  <c r="D36" i="18"/>
  <c r="C36" i="18"/>
  <c r="B36" i="18"/>
  <c r="A36" i="18"/>
  <c r="I35" i="18"/>
  <c r="H35" i="18"/>
  <c r="G35" i="18"/>
  <c r="F35" i="18"/>
  <c r="E35" i="18"/>
  <c r="D35" i="18"/>
  <c r="C35" i="18"/>
  <c r="B35" i="18"/>
  <c r="A35" i="18"/>
  <c r="I34" i="18"/>
  <c r="H34" i="18"/>
  <c r="G34" i="18"/>
  <c r="F34" i="18"/>
  <c r="E34" i="18"/>
  <c r="D34" i="18"/>
  <c r="C34" i="18"/>
  <c r="B34" i="18"/>
  <c r="A34" i="18"/>
  <c r="I33" i="18"/>
  <c r="H33" i="18"/>
  <c r="G33" i="18"/>
  <c r="F33" i="18"/>
  <c r="E33" i="18"/>
  <c r="D33" i="18"/>
  <c r="C33" i="18"/>
  <c r="B33" i="18"/>
  <c r="A33" i="18"/>
  <c r="I32" i="18"/>
  <c r="H32" i="18"/>
  <c r="G32" i="18"/>
  <c r="F32" i="18"/>
  <c r="E32" i="18"/>
  <c r="D32" i="18"/>
  <c r="C32" i="18"/>
  <c r="B32" i="18"/>
  <c r="A32" i="18"/>
  <c r="I31" i="18"/>
  <c r="H31" i="18"/>
  <c r="G31" i="18"/>
  <c r="F31" i="18"/>
  <c r="E31" i="18"/>
  <c r="D31" i="18"/>
  <c r="C31" i="18"/>
  <c r="B31" i="18"/>
  <c r="A31" i="18"/>
  <c r="I30" i="18"/>
  <c r="H30" i="18"/>
  <c r="G30" i="18"/>
  <c r="F30" i="18"/>
  <c r="E30" i="18"/>
  <c r="D30" i="18"/>
  <c r="C30" i="18"/>
  <c r="B30" i="18"/>
  <c r="A30" i="18"/>
  <c r="I29" i="18"/>
  <c r="H29" i="18"/>
  <c r="G29" i="18"/>
  <c r="F29" i="18"/>
  <c r="E29" i="18"/>
  <c r="D29" i="18"/>
  <c r="C29" i="18"/>
  <c r="B29" i="18"/>
  <c r="A29" i="18"/>
  <c r="I28" i="18"/>
  <c r="H28" i="18"/>
  <c r="G28" i="18"/>
  <c r="F28" i="18"/>
  <c r="E28" i="18"/>
  <c r="D28" i="18"/>
  <c r="C28" i="18"/>
  <c r="B28" i="18"/>
  <c r="A28" i="18"/>
  <c r="I27" i="18"/>
  <c r="H27" i="18"/>
  <c r="G27" i="18"/>
  <c r="F27" i="18"/>
  <c r="E27" i="18"/>
  <c r="D27" i="18"/>
  <c r="C27" i="18"/>
  <c r="B27" i="18"/>
  <c r="A27" i="18"/>
  <c r="I26" i="18"/>
  <c r="H26" i="18"/>
  <c r="G26" i="18"/>
  <c r="F26" i="18"/>
  <c r="E26" i="18"/>
  <c r="D26" i="18"/>
  <c r="C26" i="18"/>
  <c r="B26" i="18"/>
  <c r="A26" i="18"/>
  <c r="I25" i="18"/>
  <c r="H25" i="18"/>
  <c r="G25" i="18"/>
  <c r="F25" i="18"/>
  <c r="E25" i="18"/>
  <c r="D25" i="18"/>
  <c r="C25" i="18"/>
  <c r="B25" i="18"/>
  <c r="A25" i="18"/>
  <c r="I24" i="18"/>
  <c r="H24" i="18"/>
  <c r="G24" i="18"/>
  <c r="F24" i="18"/>
  <c r="E24" i="18"/>
  <c r="D24" i="18"/>
  <c r="C24" i="18"/>
  <c r="B24" i="18"/>
  <c r="A24" i="18"/>
  <c r="I23" i="18"/>
  <c r="H23" i="18"/>
  <c r="G23" i="18"/>
  <c r="F23" i="18"/>
  <c r="E23" i="18"/>
  <c r="D23" i="18"/>
  <c r="C23" i="18"/>
  <c r="B23" i="18"/>
  <c r="A23" i="18"/>
  <c r="I22" i="18"/>
  <c r="H22" i="18"/>
  <c r="G22" i="18"/>
  <c r="F22" i="18"/>
  <c r="E22" i="18"/>
  <c r="D22" i="18"/>
  <c r="C22" i="18"/>
  <c r="B22" i="18"/>
  <c r="A22" i="18"/>
  <c r="I21" i="18"/>
  <c r="H21" i="18"/>
  <c r="G21" i="18"/>
  <c r="F21" i="18"/>
  <c r="E21" i="18"/>
  <c r="D21" i="18"/>
  <c r="C21" i="18"/>
  <c r="B21" i="18"/>
  <c r="A21" i="18"/>
  <c r="I20" i="18"/>
  <c r="H20" i="18"/>
  <c r="G20" i="18"/>
  <c r="F20" i="18"/>
  <c r="E20" i="18"/>
  <c r="D20" i="18"/>
  <c r="C20" i="18"/>
  <c r="B20" i="18"/>
  <c r="A20" i="18"/>
  <c r="I19" i="18"/>
  <c r="H19" i="18"/>
  <c r="G19" i="18"/>
  <c r="F19" i="18"/>
  <c r="E19" i="18"/>
  <c r="D19" i="18"/>
  <c r="C19" i="18"/>
  <c r="B19" i="18"/>
  <c r="A19" i="18"/>
  <c r="I18" i="18"/>
  <c r="H18" i="18"/>
  <c r="G18" i="18"/>
  <c r="F18" i="18"/>
  <c r="E18" i="18"/>
  <c r="D18" i="18"/>
  <c r="C18" i="18"/>
  <c r="B18" i="18"/>
  <c r="A18" i="18"/>
  <c r="I17" i="18"/>
  <c r="H17" i="18"/>
  <c r="G17" i="18"/>
  <c r="F17" i="18"/>
  <c r="E17" i="18"/>
  <c r="D17" i="18"/>
  <c r="C17" i="18"/>
  <c r="B17" i="18"/>
  <c r="A17" i="18"/>
  <c r="I16" i="18"/>
  <c r="H16" i="18"/>
  <c r="G16" i="18"/>
  <c r="F16" i="18"/>
  <c r="E16" i="18"/>
  <c r="D16" i="18"/>
  <c r="C16" i="18"/>
  <c r="B16" i="18"/>
  <c r="A16" i="18"/>
  <c r="I15" i="18"/>
  <c r="H15" i="18"/>
  <c r="G15" i="18"/>
  <c r="F15" i="18"/>
  <c r="E15" i="18"/>
  <c r="D15" i="18"/>
  <c r="C15" i="18"/>
  <c r="B15" i="18"/>
  <c r="A15" i="18"/>
  <c r="I14" i="18"/>
  <c r="H14" i="18"/>
  <c r="G14" i="18"/>
  <c r="F14" i="18"/>
  <c r="E14" i="18"/>
  <c r="D14" i="18"/>
  <c r="C14" i="18"/>
  <c r="B14" i="18"/>
  <c r="A14" i="18"/>
  <c r="I13" i="18"/>
  <c r="H13" i="18"/>
  <c r="G13" i="18"/>
  <c r="F13" i="18"/>
  <c r="E13" i="18"/>
  <c r="D13" i="18"/>
  <c r="C13" i="18"/>
  <c r="B13" i="18"/>
  <c r="A13" i="18"/>
  <c r="I12" i="18"/>
  <c r="H12" i="18"/>
  <c r="G12" i="18"/>
  <c r="F12" i="18"/>
  <c r="E12" i="18"/>
  <c r="D12" i="18"/>
  <c r="C12" i="18"/>
  <c r="B12" i="18"/>
  <c r="A12" i="18"/>
  <c r="I11" i="18"/>
  <c r="H11" i="18"/>
  <c r="G11" i="18"/>
  <c r="F11" i="18"/>
  <c r="E11" i="18"/>
  <c r="D11" i="18"/>
  <c r="C11" i="18"/>
  <c r="B11" i="18"/>
  <c r="A11" i="18"/>
  <c r="I10" i="18"/>
  <c r="H10" i="18"/>
  <c r="G10" i="18"/>
  <c r="F10" i="18"/>
  <c r="E10" i="18"/>
  <c r="D10" i="18"/>
  <c r="C10" i="18"/>
  <c r="B10" i="18"/>
  <c r="A10" i="18"/>
  <c r="I9" i="18"/>
  <c r="H9" i="18"/>
  <c r="G9" i="18"/>
  <c r="F9" i="18"/>
  <c r="E9" i="18"/>
  <c r="D9" i="18"/>
  <c r="C9" i="18"/>
  <c r="B9" i="18"/>
  <c r="A9" i="18"/>
  <c r="I8" i="18"/>
  <c r="H8" i="18"/>
  <c r="G8" i="18"/>
  <c r="F8" i="18"/>
  <c r="E8" i="18"/>
  <c r="D8" i="18"/>
  <c r="C8" i="18"/>
  <c r="B8" i="18"/>
  <c r="A8" i="18"/>
  <c r="I7" i="18"/>
  <c r="H7" i="18"/>
  <c r="G7" i="18"/>
  <c r="F7" i="18"/>
  <c r="E7" i="18"/>
  <c r="D7" i="18"/>
  <c r="C7" i="18"/>
  <c r="B7" i="18"/>
  <c r="A7" i="18"/>
  <c r="I6" i="18"/>
  <c r="H6" i="18"/>
  <c r="G6" i="18"/>
  <c r="F6" i="18"/>
  <c r="E6" i="18"/>
  <c r="D6" i="18"/>
  <c r="C6" i="18"/>
  <c r="B6" i="18"/>
  <c r="A6" i="18"/>
  <c r="I5" i="18"/>
  <c r="H5" i="18"/>
  <c r="G5" i="18"/>
  <c r="F5" i="18"/>
  <c r="E5" i="18"/>
  <c r="D5" i="18"/>
  <c r="C5" i="18"/>
  <c r="B5" i="18"/>
  <c r="A5" i="18"/>
  <c r="I26" i="5"/>
  <c r="H26" i="5"/>
  <c r="G26" i="5"/>
  <c r="F26" i="5"/>
  <c r="E26" i="5"/>
  <c r="D26" i="5"/>
  <c r="C26" i="5"/>
  <c r="B26" i="5"/>
  <c r="A26" i="5"/>
  <c r="I25" i="5"/>
  <c r="H25" i="5"/>
  <c r="G25" i="5"/>
  <c r="F25" i="5"/>
  <c r="E25" i="5"/>
  <c r="D25" i="5"/>
  <c r="C25" i="5"/>
  <c r="B25" i="5"/>
  <c r="A25" i="5"/>
  <c r="I24" i="5"/>
  <c r="H24" i="5"/>
  <c r="G24" i="5"/>
  <c r="F24" i="5"/>
  <c r="E24" i="5"/>
  <c r="D24" i="5"/>
  <c r="C24" i="5"/>
  <c r="B24" i="5"/>
  <c r="A24" i="5"/>
  <c r="I23" i="5"/>
  <c r="H23" i="5"/>
  <c r="G23" i="5"/>
  <c r="F23" i="5"/>
  <c r="E23" i="5"/>
  <c r="D23" i="5"/>
  <c r="C23" i="5"/>
  <c r="B23" i="5"/>
  <c r="A23" i="5"/>
  <c r="I22" i="5"/>
  <c r="H22" i="5"/>
  <c r="G22" i="5"/>
  <c r="F22" i="5"/>
  <c r="E22" i="5"/>
  <c r="D22" i="5"/>
  <c r="C22" i="5"/>
  <c r="B22" i="5"/>
  <c r="A22" i="5"/>
  <c r="I21" i="5"/>
  <c r="H21" i="5"/>
  <c r="G21" i="5"/>
  <c r="F21" i="5"/>
  <c r="E21" i="5"/>
  <c r="D21" i="5"/>
  <c r="C21" i="5"/>
  <c r="B21" i="5"/>
  <c r="A21" i="5"/>
  <c r="I20" i="5"/>
  <c r="H20" i="5"/>
  <c r="G20" i="5"/>
  <c r="F20" i="5"/>
  <c r="E20" i="5"/>
  <c r="D20" i="5"/>
  <c r="C20" i="5"/>
  <c r="B20" i="5"/>
  <c r="A20" i="5"/>
  <c r="I19" i="5"/>
  <c r="E19" i="5"/>
  <c r="D19" i="5"/>
  <c r="C19" i="5"/>
  <c r="B19" i="5"/>
  <c r="A19" i="5"/>
  <c r="I18" i="5"/>
  <c r="H18" i="5"/>
  <c r="G18" i="5"/>
  <c r="F18" i="5"/>
  <c r="E18" i="5"/>
  <c r="D18" i="5"/>
  <c r="C18" i="5"/>
  <c r="B18" i="5"/>
  <c r="A18" i="5"/>
  <c r="I17" i="5"/>
  <c r="H17" i="5"/>
  <c r="G17" i="5"/>
  <c r="F17" i="5"/>
  <c r="E17" i="5"/>
  <c r="D17" i="5"/>
  <c r="C17" i="5"/>
  <c r="B17" i="5"/>
  <c r="A17" i="5"/>
  <c r="I16" i="5"/>
  <c r="H16" i="5"/>
  <c r="G16" i="5"/>
  <c r="F16" i="5"/>
  <c r="E16" i="5"/>
  <c r="D16" i="5"/>
  <c r="C16" i="5"/>
  <c r="B16" i="5"/>
  <c r="A16" i="5"/>
  <c r="I15" i="5"/>
  <c r="H15" i="5"/>
  <c r="G15" i="5"/>
  <c r="F15" i="5"/>
  <c r="E15" i="5"/>
  <c r="D15" i="5"/>
  <c r="C15" i="5"/>
  <c r="B15" i="5"/>
  <c r="A15" i="5"/>
  <c r="I14" i="5"/>
  <c r="H14" i="5"/>
  <c r="G14" i="5"/>
  <c r="F14" i="5"/>
  <c r="E14" i="5"/>
  <c r="D14" i="5"/>
  <c r="C14" i="5"/>
  <c r="B14" i="5"/>
  <c r="A14" i="5"/>
  <c r="I13" i="5"/>
  <c r="H13" i="5"/>
  <c r="G13" i="5"/>
  <c r="F13" i="5"/>
  <c r="E13" i="5"/>
  <c r="D13" i="5"/>
  <c r="C13" i="5"/>
  <c r="B13" i="5"/>
  <c r="A13" i="5"/>
  <c r="I12" i="5"/>
  <c r="H12" i="5"/>
  <c r="G12" i="5"/>
  <c r="F12" i="5"/>
  <c r="E12" i="5"/>
  <c r="D12" i="5"/>
  <c r="C12" i="5"/>
  <c r="B12" i="5"/>
  <c r="A12" i="5"/>
  <c r="I11" i="5"/>
  <c r="H11" i="5"/>
  <c r="G11" i="5"/>
  <c r="F11" i="5"/>
  <c r="E11" i="5"/>
  <c r="D11" i="5"/>
  <c r="C11" i="5"/>
  <c r="B11" i="5"/>
  <c r="A11" i="5"/>
  <c r="I10" i="5"/>
  <c r="H10" i="5"/>
  <c r="G10" i="5"/>
  <c r="F10" i="5"/>
  <c r="E10" i="5"/>
  <c r="D10" i="5"/>
  <c r="C10" i="5"/>
  <c r="B10" i="5"/>
  <c r="A10" i="5"/>
  <c r="I9" i="5"/>
  <c r="H9" i="5"/>
  <c r="G9" i="5"/>
  <c r="F9" i="5"/>
  <c r="E9" i="5"/>
  <c r="D9" i="5"/>
  <c r="C9" i="5"/>
  <c r="B9" i="5"/>
  <c r="A9" i="5"/>
  <c r="H8" i="5"/>
  <c r="G8" i="5"/>
  <c r="F8" i="5"/>
  <c r="E8" i="5"/>
  <c r="D8" i="5"/>
  <c r="C8" i="5"/>
  <c r="B8" i="5"/>
  <c r="A8" i="5"/>
  <c r="I7" i="5"/>
  <c r="H7" i="5"/>
  <c r="G7" i="5"/>
  <c r="F7" i="5"/>
  <c r="E7" i="5"/>
  <c r="D7" i="5"/>
  <c r="C7" i="5"/>
  <c r="B7" i="5"/>
  <c r="A7" i="5"/>
  <c r="I6" i="5"/>
  <c r="H6" i="5"/>
  <c r="G6" i="5"/>
  <c r="F6" i="5"/>
  <c r="E6" i="5"/>
  <c r="D6" i="5"/>
  <c r="C6" i="5"/>
  <c r="B6" i="5"/>
  <c r="A6" i="5"/>
  <c r="I5" i="5"/>
  <c r="H5" i="5"/>
  <c r="G5" i="5"/>
  <c r="F5" i="5"/>
  <c r="E5" i="5"/>
  <c r="D5" i="5"/>
  <c r="C5" i="5"/>
  <c r="B5" i="5"/>
  <c r="A5" i="5"/>
  <c r="I27" i="5"/>
  <c r="H27" i="5"/>
  <c r="G27" i="5"/>
  <c r="F27" i="5"/>
  <c r="E27" i="5"/>
  <c r="D27" i="5"/>
  <c r="C27" i="5"/>
  <c r="B27" i="5"/>
  <c r="A27" i="5"/>
  <c r="B32" i="5"/>
  <c r="B35" i="5" s="1"/>
  <c r="B38" i="5" s="1"/>
  <c r="C32" i="5"/>
  <c r="C33" i="5" s="1"/>
  <c r="C34" i="5" s="1"/>
  <c r="C35" i="5" s="1"/>
  <c r="C36" i="5" s="1"/>
  <c r="C37" i="5" s="1"/>
  <c r="B33" i="5"/>
  <c r="B36" i="5" s="1"/>
  <c r="B39" i="5" s="1"/>
  <c r="B34" i="5"/>
  <c r="B37" i="5" s="1"/>
  <c r="B40" i="5" s="1"/>
  <c r="C45" i="5"/>
  <c r="C46" i="5" s="1"/>
  <c r="C47" i="5" s="1"/>
  <c r="C48" i="5" s="1"/>
  <c r="C49" i="5" s="1"/>
  <c r="C50" i="5" s="1"/>
  <c r="C51" i="5" s="1"/>
  <c r="G10" i="9"/>
  <c r="G9" i="9"/>
  <c r="G11" i="9"/>
  <c r="G12" i="9"/>
  <c r="C72" i="16"/>
  <c r="C30" i="17"/>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I27" i="17"/>
  <c r="H27" i="17"/>
  <c r="G27" i="17"/>
  <c r="F27" i="17"/>
  <c r="E27" i="17"/>
  <c r="D27" i="17"/>
  <c r="C27" i="17"/>
  <c r="B27" i="17"/>
  <c r="A27" i="17"/>
  <c r="I26" i="17"/>
  <c r="H26" i="17"/>
  <c r="G26" i="17"/>
  <c r="F26" i="17"/>
  <c r="E26" i="17"/>
  <c r="D26" i="17"/>
  <c r="C26" i="17"/>
  <c r="B26" i="17"/>
  <c r="A26" i="17"/>
  <c r="I25" i="17"/>
  <c r="H25" i="17"/>
  <c r="G25" i="17"/>
  <c r="F25" i="17"/>
  <c r="E25" i="17"/>
  <c r="D25" i="17"/>
  <c r="C25" i="17"/>
  <c r="B25" i="17"/>
  <c r="A25" i="17"/>
  <c r="I24" i="17"/>
  <c r="H24" i="17"/>
  <c r="G24" i="17"/>
  <c r="F24" i="17"/>
  <c r="E24" i="17"/>
  <c r="D24" i="17"/>
  <c r="C24" i="17"/>
  <c r="B24" i="17"/>
  <c r="A24" i="17"/>
  <c r="I23" i="17"/>
  <c r="H23" i="17"/>
  <c r="G23" i="17"/>
  <c r="F23" i="17"/>
  <c r="E23" i="17"/>
  <c r="D23" i="17"/>
  <c r="C23" i="17"/>
  <c r="B23" i="17"/>
  <c r="A23" i="17"/>
  <c r="I22" i="17"/>
  <c r="H22" i="17"/>
  <c r="G22" i="17"/>
  <c r="F22" i="17"/>
  <c r="E22" i="17"/>
  <c r="D22" i="17"/>
  <c r="C22" i="17"/>
  <c r="B22" i="17"/>
  <c r="A22" i="17"/>
  <c r="I21" i="17"/>
  <c r="H21" i="17"/>
  <c r="G21" i="17"/>
  <c r="F21" i="17"/>
  <c r="E21" i="17"/>
  <c r="D21" i="17"/>
  <c r="C21" i="17"/>
  <c r="B21" i="17"/>
  <c r="A21" i="17"/>
  <c r="I20" i="17"/>
  <c r="E20" i="17"/>
  <c r="D20" i="17"/>
  <c r="C20" i="17"/>
  <c r="B20" i="17"/>
  <c r="A20" i="17"/>
  <c r="I19" i="17"/>
  <c r="H19" i="17"/>
  <c r="G19" i="17"/>
  <c r="F19" i="17"/>
  <c r="E19" i="17"/>
  <c r="D19" i="17"/>
  <c r="C19" i="17"/>
  <c r="B19" i="17"/>
  <c r="A19" i="17"/>
  <c r="I18" i="17"/>
  <c r="H18" i="17"/>
  <c r="G18" i="17"/>
  <c r="F18" i="17"/>
  <c r="E18" i="17"/>
  <c r="D18" i="17"/>
  <c r="C18" i="17"/>
  <c r="B18" i="17"/>
  <c r="A18" i="17"/>
  <c r="I17" i="17"/>
  <c r="H17" i="17"/>
  <c r="G17" i="17"/>
  <c r="F17" i="17"/>
  <c r="E17" i="17"/>
  <c r="D17" i="17"/>
  <c r="C17" i="17"/>
  <c r="B17" i="17"/>
  <c r="A17" i="17"/>
  <c r="I16" i="17"/>
  <c r="H16" i="17"/>
  <c r="G16" i="17"/>
  <c r="F16" i="17"/>
  <c r="E16" i="17"/>
  <c r="D16" i="17"/>
  <c r="C16" i="17"/>
  <c r="B16" i="17"/>
  <c r="A16" i="17"/>
  <c r="I15" i="17"/>
  <c r="H15" i="17"/>
  <c r="G15" i="17"/>
  <c r="F15" i="17"/>
  <c r="E15" i="17"/>
  <c r="D15" i="17"/>
  <c r="C15" i="17"/>
  <c r="B15" i="17"/>
  <c r="A15" i="17"/>
  <c r="I14" i="17"/>
  <c r="H14" i="17"/>
  <c r="G14" i="17"/>
  <c r="F14" i="17"/>
  <c r="E14" i="17"/>
  <c r="D14" i="17"/>
  <c r="C14" i="17"/>
  <c r="B14" i="17"/>
  <c r="A14" i="17"/>
  <c r="I13" i="17"/>
  <c r="H13" i="17"/>
  <c r="G13" i="17"/>
  <c r="F13" i="17"/>
  <c r="E13" i="17"/>
  <c r="D13" i="17"/>
  <c r="C13" i="17"/>
  <c r="B13" i="17"/>
  <c r="A13" i="17"/>
  <c r="I12" i="17"/>
  <c r="H12" i="17"/>
  <c r="G12" i="17"/>
  <c r="F12" i="17"/>
  <c r="E12" i="17"/>
  <c r="D12" i="17"/>
  <c r="C12" i="17"/>
  <c r="B12" i="17"/>
  <c r="A12" i="17"/>
  <c r="I11" i="17"/>
  <c r="H11" i="17"/>
  <c r="G11" i="17"/>
  <c r="F11" i="17"/>
  <c r="E11" i="17"/>
  <c r="D11" i="17"/>
  <c r="C11" i="17"/>
  <c r="B11" i="17"/>
  <c r="A11" i="17"/>
  <c r="I10" i="17"/>
  <c r="H10" i="17"/>
  <c r="G10" i="17"/>
  <c r="F10" i="17"/>
  <c r="E10" i="17"/>
  <c r="D10" i="17"/>
  <c r="C10" i="17"/>
  <c r="B10" i="17"/>
  <c r="A10" i="17"/>
  <c r="H9" i="17"/>
  <c r="G9" i="17"/>
  <c r="F9" i="17"/>
  <c r="E9" i="17"/>
  <c r="D9" i="17"/>
  <c r="C9" i="17"/>
  <c r="B9" i="17"/>
  <c r="A9" i="17"/>
  <c r="I8" i="17"/>
  <c r="H8" i="17"/>
  <c r="G8" i="17"/>
  <c r="F8" i="17"/>
  <c r="E8" i="17"/>
  <c r="D8" i="17"/>
  <c r="C8" i="17"/>
  <c r="B8" i="17"/>
  <c r="A8" i="17"/>
  <c r="I7" i="17"/>
  <c r="H7" i="17"/>
  <c r="G7" i="17"/>
  <c r="F7" i="17"/>
  <c r="E7" i="17"/>
  <c r="D7" i="17"/>
  <c r="C7" i="17"/>
  <c r="B7" i="17"/>
  <c r="A7" i="17"/>
  <c r="I6" i="17"/>
  <c r="H6" i="17"/>
  <c r="G6" i="17"/>
  <c r="F6" i="17"/>
  <c r="E6" i="17"/>
  <c r="D6" i="17"/>
  <c r="C6" i="17"/>
  <c r="B6" i="17"/>
  <c r="A6" i="17"/>
  <c r="I5" i="17"/>
  <c r="H5" i="17"/>
  <c r="G5" i="17"/>
  <c r="F5" i="17"/>
  <c r="E5" i="17"/>
  <c r="D5" i="17"/>
  <c r="C5" i="17"/>
  <c r="B5" i="17"/>
  <c r="A5" i="17"/>
  <c r="C30" i="16"/>
  <c r="C31" i="16" s="1"/>
  <c r="C32" i="16" s="1"/>
  <c r="C33" i="16" s="1"/>
  <c r="C34" i="16" s="1"/>
  <c r="C35" i="16" s="1"/>
  <c r="C36" i="16" s="1"/>
  <c r="C37" i="16" s="1"/>
  <c r="C38" i="16" s="1"/>
  <c r="C39" i="16" s="1"/>
  <c r="C40" i="16" s="1"/>
  <c r="C41" i="16" s="1"/>
  <c r="C42" i="16" s="1"/>
  <c r="C43" i="16" s="1"/>
  <c r="C44" i="16" s="1"/>
  <c r="C45" i="16" s="1"/>
  <c r="C46" i="16" s="1"/>
  <c r="C47" i="16" s="1"/>
  <c r="C48" i="16" s="1"/>
  <c r="C49" i="16" s="1"/>
  <c r="C50" i="16" s="1"/>
  <c r="C51" i="16" s="1"/>
  <c r="C52" i="16" s="1"/>
  <c r="C53" i="16" s="1"/>
  <c r="C54" i="16" s="1"/>
  <c r="C55" i="16" s="1"/>
  <c r="C56" i="16" s="1"/>
  <c r="C57" i="16" s="1"/>
  <c r="C58" i="16" s="1"/>
  <c r="C59" i="16" s="1"/>
  <c r="C60" i="16" s="1"/>
  <c r="C61" i="16" s="1"/>
  <c r="C62" i="16" s="1"/>
  <c r="C63" i="16" s="1"/>
  <c r="C64" i="16" s="1"/>
  <c r="C65" i="16" s="1"/>
  <c r="C66" i="16" s="1"/>
  <c r="C67" i="16" s="1"/>
  <c r="C68" i="16" s="1"/>
  <c r="C69" i="16" s="1"/>
  <c r="C70" i="16" s="1"/>
  <c r="C71" i="16" s="1"/>
  <c r="I27" i="16"/>
  <c r="H27" i="16"/>
  <c r="G27" i="16"/>
  <c r="F27" i="16"/>
  <c r="E27" i="16"/>
  <c r="D27" i="16"/>
  <c r="C27" i="16"/>
  <c r="B27" i="16"/>
  <c r="A27" i="16"/>
  <c r="I26" i="16"/>
  <c r="H26" i="16"/>
  <c r="G26" i="16"/>
  <c r="F26" i="16"/>
  <c r="E26" i="16"/>
  <c r="D26" i="16"/>
  <c r="C26" i="16"/>
  <c r="B26" i="16"/>
  <c r="A26" i="16"/>
  <c r="I25" i="16"/>
  <c r="H25" i="16"/>
  <c r="G25" i="16"/>
  <c r="F25" i="16"/>
  <c r="E25" i="16"/>
  <c r="D25" i="16"/>
  <c r="C25" i="16"/>
  <c r="B25" i="16"/>
  <c r="A25" i="16"/>
  <c r="I24" i="16"/>
  <c r="H24" i="16"/>
  <c r="G24" i="16"/>
  <c r="F24" i="16"/>
  <c r="E24" i="16"/>
  <c r="D24" i="16"/>
  <c r="C24" i="16"/>
  <c r="B24" i="16"/>
  <c r="A24" i="16"/>
  <c r="I23" i="16"/>
  <c r="H23" i="16"/>
  <c r="G23" i="16"/>
  <c r="F23" i="16"/>
  <c r="E23" i="16"/>
  <c r="D23" i="16"/>
  <c r="C23" i="16"/>
  <c r="B23" i="16"/>
  <c r="A23" i="16"/>
  <c r="I22" i="16"/>
  <c r="H22" i="16"/>
  <c r="G22" i="16"/>
  <c r="F22" i="16"/>
  <c r="E22" i="16"/>
  <c r="D22" i="16"/>
  <c r="C22" i="16"/>
  <c r="B22" i="16"/>
  <c r="A22" i="16"/>
  <c r="I21" i="16"/>
  <c r="H21" i="16"/>
  <c r="G21" i="16"/>
  <c r="F21" i="16"/>
  <c r="E21" i="16"/>
  <c r="D21" i="16"/>
  <c r="C21" i="16"/>
  <c r="B21" i="16"/>
  <c r="A21" i="16"/>
  <c r="I20" i="16"/>
  <c r="E20" i="16"/>
  <c r="D20" i="16"/>
  <c r="C20" i="16"/>
  <c r="B20" i="16"/>
  <c r="A20" i="16"/>
  <c r="I19" i="16"/>
  <c r="H19" i="16"/>
  <c r="G19" i="16"/>
  <c r="F19" i="16"/>
  <c r="E19" i="16"/>
  <c r="D19" i="16"/>
  <c r="C19" i="16"/>
  <c r="B19" i="16"/>
  <c r="A19" i="16"/>
  <c r="I18" i="16"/>
  <c r="H18" i="16"/>
  <c r="G18" i="16"/>
  <c r="F18" i="16"/>
  <c r="E18" i="16"/>
  <c r="D18" i="16"/>
  <c r="C18" i="16"/>
  <c r="B18" i="16"/>
  <c r="A18" i="16"/>
  <c r="I17" i="16"/>
  <c r="H17" i="16"/>
  <c r="G17" i="16"/>
  <c r="F17" i="16"/>
  <c r="E17" i="16"/>
  <c r="D17" i="16"/>
  <c r="C17" i="16"/>
  <c r="B17" i="16"/>
  <c r="A17" i="16"/>
  <c r="I16" i="16"/>
  <c r="H16" i="16"/>
  <c r="G16" i="16"/>
  <c r="F16" i="16"/>
  <c r="E16" i="16"/>
  <c r="D16" i="16"/>
  <c r="C16" i="16"/>
  <c r="B16" i="16"/>
  <c r="A16" i="16"/>
  <c r="I15" i="16"/>
  <c r="H15" i="16"/>
  <c r="G15" i="16"/>
  <c r="F15" i="16"/>
  <c r="E15" i="16"/>
  <c r="D15" i="16"/>
  <c r="C15" i="16"/>
  <c r="B15" i="16"/>
  <c r="A15" i="16"/>
  <c r="I14" i="16"/>
  <c r="H14" i="16"/>
  <c r="G14" i="16"/>
  <c r="F14" i="16"/>
  <c r="E14" i="16"/>
  <c r="D14" i="16"/>
  <c r="C14" i="16"/>
  <c r="B14" i="16"/>
  <c r="A14" i="16"/>
  <c r="I13" i="16"/>
  <c r="H13" i="16"/>
  <c r="G13" i="16"/>
  <c r="F13" i="16"/>
  <c r="E13" i="16"/>
  <c r="D13" i="16"/>
  <c r="C13" i="16"/>
  <c r="B13" i="16"/>
  <c r="A13" i="16"/>
  <c r="I12" i="16"/>
  <c r="H12" i="16"/>
  <c r="G12" i="16"/>
  <c r="F12" i="16"/>
  <c r="E12" i="16"/>
  <c r="D12" i="16"/>
  <c r="C12" i="16"/>
  <c r="B12" i="16"/>
  <c r="A12" i="16"/>
  <c r="I11" i="16"/>
  <c r="H11" i="16"/>
  <c r="G11" i="16"/>
  <c r="F11" i="16"/>
  <c r="E11" i="16"/>
  <c r="D11" i="16"/>
  <c r="C11" i="16"/>
  <c r="B11" i="16"/>
  <c r="A11" i="16"/>
  <c r="I10" i="16"/>
  <c r="H10" i="16"/>
  <c r="G10" i="16"/>
  <c r="F10" i="16"/>
  <c r="E10" i="16"/>
  <c r="D10" i="16"/>
  <c r="C10" i="16"/>
  <c r="B10" i="16"/>
  <c r="A10" i="16"/>
  <c r="H9" i="16"/>
  <c r="G9" i="16"/>
  <c r="F9" i="16"/>
  <c r="E9" i="16"/>
  <c r="D9" i="16"/>
  <c r="C9" i="16"/>
  <c r="B9" i="16"/>
  <c r="A9" i="16"/>
  <c r="I8" i="16"/>
  <c r="H8" i="16"/>
  <c r="G8" i="16"/>
  <c r="F8" i="16"/>
  <c r="E8" i="16"/>
  <c r="D8" i="16"/>
  <c r="C8" i="16"/>
  <c r="B8" i="16"/>
  <c r="A8" i="16"/>
  <c r="I7" i="16"/>
  <c r="H7" i="16"/>
  <c r="G7" i="16"/>
  <c r="F7" i="16"/>
  <c r="E7" i="16"/>
  <c r="D7" i="16"/>
  <c r="C7" i="16"/>
  <c r="B7" i="16"/>
  <c r="A7" i="16"/>
  <c r="I6" i="16"/>
  <c r="H6" i="16"/>
  <c r="G6" i="16"/>
  <c r="F6" i="16"/>
  <c r="E6" i="16"/>
  <c r="D6" i="16"/>
  <c r="C6" i="16"/>
  <c r="B6" i="16"/>
  <c r="A6" i="16"/>
  <c r="I5" i="16"/>
  <c r="H5" i="16"/>
  <c r="G5" i="16"/>
  <c r="F5" i="16"/>
  <c r="E5" i="16"/>
  <c r="D5" i="16"/>
  <c r="C5" i="16"/>
  <c r="B5" i="16"/>
  <c r="A5" i="16"/>
  <c r="C31" i="6"/>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113" i="6" s="1"/>
  <c r="C114" i="6" s="1"/>
  <c r="C115" i="6" s="1"/>
  <c r="C116" i="6" s="1"/>
  <c r="C117" i="6" s="1"/>
  <c r="C118" i="6" s="1"/>
  <c r="C119" i="6" s="1"/>
  <c r="C120" i="6" s="1"/>
  <c r="C121" i="6" s="1"/>
  <c r="C122" i="6" s="1"/>
  <c r="C123" i="6" s="1"/>
  <c r="C124" i="6" s="1"/>
  <c r="C125" i="6" s="1"/>
  <c r="C126" i="6" s="1"/>
  <c r="C127" i="6" s="1"/>
  <c r="C128" i="6" s="1"/>
  <c r="C129" i="6" s="1"/>
  <c r="C130" i="6" s="1"/>
  <c r="C131" i="6" s="1"/>
  <c r="C132" i="6" s="1"/>
  <c r="C133" i="6" s="1"/>
  <c r="C134" i="6" s="1"/>
  <c r="C135" i="6" s="1"/>
  <c r="C136" i="6" s="1"/>
  <c r="C137" i="6" s="1"/>
  <c r="C138" i="6" s="1"/>
  <c r="C139" i="6" s="1"/>
  <c r="C140" i="6" s="1"/>
  <c r="C141" i="6" s="1"/>
  <c r="C142" i="6" s="1"/>
  <c r="C143" i="6" s="1"/>
  <c r="C144" i="6" s="1"/>
  <c r="C145" i="6" s="1"/>
  <c r="C146" i="6" s="1"/>
  <c r="C147" i="6" s="1"/>
  <c r="C148" i="6" s="1"/>
  <c r="C149" i="6" s="1"/>
  <c r="C150" i="6" s="1"/>
  <c r="C151" i="6" s="1"/>
  <c r="C152" i="6" s="1"/>
  <c r="C153" i="6" s="1"/>
  <c r="G24" i="9"/>
  <c r="G23" i="9"/>
  <c r="G22" i="9"/>
  <c r="G21" i="9"/>
  <c r="G20" i="9"/>
  <c r="C30" i="14"/>
  <c r="C31" i="14" s="1"/>
  <c r="I27" i="14"/>
  <c r="H27" i="14"/>
  <c r="G27" i="14"/>
  <c r="F27" i="14"/>
  <c r="E27" i="14"/>
  <c r="D27" i="14"/>
  <c r="C27" i="14"/>
  <c r="B27" i="14"/>
  <c r="A27" i="14"/>
  <c r="I26" i="14"/>
  <c r="H26" i="14"/>
  <c r="G26" i="14"/>
  <c r="F26" i="14"/>
  <c r="E26" i="14"/>
  <c r="D26" i="14"/>
  <c r="C26" i="14"/>
  <c r="B26" i="14"/>
  <c r="A26" i="14"/>
  <c r="I25" i="14"/>
  <c r="H25" i="14"/>
  <c r="G25" i="14"/>
  <c r="F25" i="14"/>
  <c r="E25" i="14"/>
  <c r="D25" i="14"/>
  <c r="C25" i="14"/>
  <c r="B25" i="14"/>
  <c r="A25" i="14"/>
  <c r="I24" i="14"/>
  <c r="H24" i="14"/>
  <c r="G24" i="14"/>
  <c r="F24" i="14"/>
  <c r="E24" i="14"/>
  <c r="D24" i="14"/>
  <c r="C24" i="14"/>
  <c r="B24" i="14"/>
  <c r="A24" i="14"/>
  <c r="I23" i="14"/>
  <c r="H23" i="14"/>
  <c r="G23" i="14"/>
  <c r="F23" i="14"/>
  <c r="E23" i="14"/>
  <c r="D23" i="14"/>
  <c r="C23" i="14"/>
  <c r="B23" i="14"/>
  <c r="A23" i="14"/>
  <c r="I22" i="14"/>
  <c r="H22" i="14"/>
  <c r="G22" i="14"/>
  <c r="F22" i="14"/>
  <c r="E22" i="14"/>
  <c r="D22" i="14"/>
  <c r="C22" i="14"/>
  <c r="B22" i="14"/>
  <c r="A22" i="14"/>
  <c r="I21" i="14"/>
  <c r="H21" i="14"/>
  <c r="G21" i="14"/>
  <c r="F21" i="14"/>
  <c r="E21" i="14"/>
  <c r="D21" i="14"/>
  <c r="C21" i="14"/>
  <c r="B21" i="14"/>
  <c r="A21" i="14"/>
  <c r="I20" i="14"/>
  <c r="H20" i="14"/>
  <c r="G20" i="14"/>
  <c r="F20" i="14"/>
  <c r="E20" i="14"/>
  <c r="D20" i="14"/>
  <c r="C20" i="14"/>
  <c r="B20" i="14"/>
  <c r="A20" i="14"/>
  <c r="I19" i="14"/>
  <c r="H19" i="14"/>
  <c r="G19" i="14"/>
  <c r="F19" i="14"/>
  <c r="E19" i="14"/>
  <c r="D19" i="14"/>
  <c r="C19" i="14"/>
  <c r="B19" i="14"/>
  <c r="A19" i="14"/>
  <c r="I18" i="14"/>
  <c r="H18" i="14"/>
  <c r="G18" i="14"/>
  <c r="F18" i="14"/>
  <c r="E18" i="14"/>
  <c r="D18" i="14"/>
  <c r="C18" i="14"/>
  <c r="B18" i="14"/>
  <c r="A18" i="14"/>
  <c r="I17" i="14"/>
  <c r="H17" i="14"/>
  <c r="G17" i="14"/>
  <c r="F17" i="14"/>
  <c r="E17" i="14"/>
  <c r="D17" i="14"/>
  <c r="C17" i="14"/>
  <c r="B17" i="14"/>
  <c r="A17" i="14"/>
  <c r="I16" i="14"/>
  <c r="H16" i="14"/>
  <c r="G16" i="14"/>
  <c r="F16" i="14"/>
  <c r="E16" i="14"/>
  <c r="D16" i="14"/>
  <c r="C16" i="14"/>
  <c r="B16" i="14"/>
  <c r="A16" i="14"/>
  <c r="I15" i="14"/>
  <c r="H15" i="14"/>
  <c r="G15" i="14"/>
  <c r="F15" i="14"/>
  <c r="E15" i="14"/>
  <c r="D15" i="14"/>
  <c r="C15" i="14"/>
  <c r="B15" i="14"/>
  <c r="A15" i="14"/>
  <c r="I14" i="14"/>
  <c r="H14" i="14"/>
  <c r="G14" i="14"/>
  <c r="F14" i="14"/>
  <c r="E14" i="14"/>
  <c r="D14" i="14"/>
  <c r="C14" i="14"/>
  <c r="B14" i="14"/>
  <c r="A14" i="14"/>
  <c r="I13" i="14"/>
  <c r="H13" i="14"/>
  <c r="G13" i="14"/>
  <c r="F13" i="14"/>
  <c r="E13" i="14"/>
  <c r="D13" i="14"/>
  <c r="C13" i="14"/>
  <c r="B13" i="14"/>
  <c r="A13" i="14"/>
  <c r="I12" i="14"/>
  <c r="H12" i="14"/>
  <c r="G12" i="14"/>
  <c r="F12" i="14"/>
  <c r="E12" i="14"/>
  <c r="D12" i="14"/>
  <c r="C12" i="14"/>
  <c r="B12" i="14"/>
  <c r="A12" i="14"/>
  <c r="I11" i="14"/>
  <c r="H11" i="14"/>
  <c r="G11" i="14"/>
  <c r="F11" i="14"/>
  <c r="E11" i="14"/>
  <c r="D11" i="14"/>
  <c r="C11" i="14"/>
  <c r="B11" i="14"/>
  <c r="A11" i="14"/>
  <c r="I10" i="14"/>
  <c r="H10" i="14"/>
  <c r="G10" i="14"/>
  <c r="F10" i="14"/>
  <c r="E10" i="14"/>
  <c r="D10" i="14"/>
  <c r="C10" i="14"/>
  <c r="B10" i="14"/>
  <c r="A10" i="14"/>
  <c r="H9" i="14"/>
  <c r="G9" i="14"/>
  <c r="F9" i="14"/>
  <c r="E9" i="14"/>
  <c r="D9" i="14"/>
  <c r="C9" i="14"/>
  <c r="B9" i="14"/>
  <c r="A9" i="14"/>
  <c r="I8" i="14"/>
  <c r="H8" i="14"/>
  <c r="G8" i="14"/>
  <c r="F8" i="14"/>
  <c r="E8" i="14"/>
  <c r="D8" i="14"/>
  <c r="C8" i="14"/>
  <c r="B8" i="14"/>
  <c r="A8" i="14"/>
  <c r="I7" i="14"/>
  <c r="H7" i="14"/>
  <c r="G7" i="14"/>
  <c r="F7" i="14"/>
  <c r="E7" i="14"/>
  <c r="D7" i="14"/>
  <c r="C7" i="14"/>
  <c r="B7" i="14"/>
  <c r="A7" i="14"/>
  <c r="I6" i="14"/>
  <c r="H6" i="14"/>
  <c r="G6" i="14"/>
  <c r="F6" i="14"/>
  <c r="E6" i="14"/>
  <c r="D6" i="14"/>
  <c r="C6" i="14"/>
  <c r="B6" i="14"/>
  <c r="A6" i="14"/>
  <c r="I5" i="14"/>
  <c r="H5" i="14"/>
  <c r="G5" i="14"/>
  <c r="F5" i="14"/>
  <c r="E5" i="14"/>
  <c r="D5" i="14"/>
  <c r="C5" i="14"/>
  <c r="B5" i="14"/>
  <c r="A5" i="14"/>
  <c r="C13" i="6"/>
  <c r="C14" i="6"/>
  <c r="C15" i="6"/>
  <c r="C12" i="6"/>
  <c r="C7" i="6"/>
  <c r="C8" i="6"/>
  <c r="C9" i="6"/>
  <c r="C10" i="6"/>
  <c r="C11" i="6"/>
  <c r="C16" i="6"/>
  <c r="C17" i="6"/>
  <c r="C18" i="6"/>
  <c r="C19" i="6"/>
  <c r="C20" i="6"/>
  <c r="C21" i="6"/>
  <c r="C22" i="6"/>
  <c r="C23" i="6"/>
  <c r="C24" i="6"/>
  <c r="C25" i="6"/>
  <c r="C26" i="6"/>
  <c r="C27" i="6"/>
  <c r="G8" i="9"/>
  <c r="I38" i="13"/>
  <c r="H38" i="13"/>
  <c r="G38" i="13"/>
  <c r="F38" i="13"/>
  <c r="E38" i="13"/>
  <c r="D38" i="13"/>
  <c r="C38" i="13"/>
  <c r="B38" i="13"/>
  <c r="A38" i="13"/>
  <c r="I37" i="13"/>
  <c r="H37" i="13"/>
  <c r="G37" i="13"/>
  <c r="F37" i="13"/>
  <c r="E37" i="13"/>
  <c r="D37" i="13"/>
  <c r="C37" i="13"/>
  <c r="B37" i="13"/>
  <c r="A37" i="13"/>
  <c r="I36" i="13"/>
  <c r="H36" i="13"/>
  <c r="G36" i="13"/>
  <c r="F36" i="13"/>
  <c r="E36" i="13"/>
  <c r="D36" i="13"/>
  <c r="C36" i="13"/>
  <c r="B36" i="13"/>
  <c r="A36" i="13"/>
  <c r="I35" i="13"/>
  <c r="H35" i="13"/>
  <c r="G35" i="13"/>
  <c r="F35" i="13"/>
  <c r="E35" i="13"/>
  <c r="D35" i="13"/>
  <c r="C35" i="13"/>
  <c r="B35" i="13"/>
  <c r="A35" i="13"/>
  <c r="I34" i="13"/>
  <c r="H34" i="13"/>
  <c r="G34" i="13"/>
  <c r="F34" i="13"/>
  <c r="E34" i="13"/>
  <c r="D34" i="13"/>
  <c r="C34" i="13"/>
  <c r="B34" i="13"/>
  <c r="A34" i="13"/>
  <c r="I33" i="13"/>
  <c r="H33" i="13"/>
  <c r="G33" i="13"/>
  <c r="F33" i="13"/>
  <c r="E33" i="13"/>
  <c r="D33" i="13"/>
  <c r="C33" i="13"/>
  <c r="B33" i="13"/>
  <c r="A33" i="13"/>
  <c r="I32" i="13"/>
  <c r="H32" i="13"/>
  <c r="G32" i="13"/>
  <c r="F32" i="13"/>
  <c r="E32" i="13"/>
  <c r="D32" i="13"/>
  <c r="C32" i="13"/>
  <c r="B32" i="13"/>
  <c r="A32" i="13"/>
  <c r="I31" i="13"/>
  <c r="H31" i="13"/>
  <c r="G31" i="13"/>
  <c r="F31" i="13"/>
  <c r="E31" i="13"/>
  <c r="D31" i="13"/>
  <c r="C31" i="13"/>
  <c r="B31" i="13"/>
  <c r="A31" i="13"/>
  <c r="I30" i="13"/>
  <c r="H30" i="13"/>
  <c r="G30" i="13"/>
  <c r="F30" i="13"/>
  <c r="E30" i="13"/>
  <c r="D30" i="13"/>
  <c r="C30" i="13"/>
  <c r="B30" i="13"/>
  <c r="A30" i="13"/>
  <c r="I29" i="13"/>
  <c r="H29" i="13"/>
  <c r="G29" i="13"/>
  <c r="F29" i="13"/>
  <c r="E29" i="13"/>
  <c r="D29" i="13"/>
  <c r="C29" i="13"/>
  <c r="B29" i="13"/>
  <c r="A29" i="13"/>
  <c r="I28" i="13"/>
  <c r="H28" i="13"/>
  <c r="G28" i="13"/>
  <c r="F28" i="13"/>
  <c r="E28" i="13"/>
  <c r="D28" i="13"/>
  <c r="C28" i="13"/>
  <c r="B28" i="13"/>
  <c r="A28" i="13"/>
  <c r="I27" i="13"/>
  <c r="H27" i="13"/>
  <c r="G27" i="13"/>
  <c r="F27" i="13"/>
  <c r="E27" i="13"/>
  <c r="D27" i="13"/>
  <c r="C27" i="13"/>
  <c r="B27" i="13"/>
  <c r="A27" i="13"/>
  <c r="I26" i="13"/>
  <c r="H26" i="13"/>
  <c r="G26" i="13"/>
  <c r="F26" i="13"/>
  <c r="E26" i="13"/>
  <c r="D26" i="13"/>
  <c r="C26" i="13"/>
  <c r="B26" i="13"/>
  <c r="A26" i="13"/>
  <c r="I25" i="13"/>
  <c r="H25" i="13"/>
  <c r="G25" i="13"/>
  <c r="F25" i="13"/>
  <c r="E25" i="13"/>
  <c r="D25" i="13"/>
  <c r="C25" i="13"/>
  <c r="B25" i="13"/>
  <c r="A25" i="13"/>
  <c r="I24" i="13"/>
  <c r="H24" i="13"/>
  <c r="G24" i="13"/>
  <c r="F24" i="13"/>
  <c r="E24" i="13"/>
  <c r="D24" i="13"/>
  <c r="C24" i="13"/>
  <c r="B24" i="13"/>
  <c r="A24" i="13"/>
  <c r="I23" i="13"/>
  <c r="H23" i="13"/>
  <c r="G23" i="13"/>
  <c r="F23" i="13"/>
  <c r="E23" i="13"/>
  <c r="D23" i="13"/>
  <c r="C23" i="13"/>
  <c r="B23" i="13"/>
  <c r="A23" i="13"/>
  <c r="I22" i="13"/>
  <c r="H22" i="13"/>
  <c r="G22" i="13"/>
  <c r="F22" i="13"/>
  <c r="E22" i="13"/>
  <c r="D22" i="13"/>
  <c r="C22" i="13"/>
  <c r="B22" i="13"/>
  <c r="A22" i="13"/>
  <c r="I21" i="13"/>
  <c r="H21" i="13"/>
  <c r="G21" i="13"/>
  <c r="F21" i="13"/>
  <c r="E21" i="13"/>
  <c r="D21" i="13"/>
  <c r="C21" i="13"/>
  <c r="B21" i="13"/>
  <c r="A21" i="13"/>
  <c r="I20" i="13"/>
  <c r="H20" i="13"/>
  <c r="G20" i="13"/>
  <c r="F20" i="13"/>
  <c r="E20" i="13"/>
  <c r="D20" i="13"/>
  <c r="C20" i="13"/>
  <c r="B20" i="13"/>
  <c r="A20" i="13"/>
  <c r="I19" i="13"/>
  <c r="H19" i="13"/>
  <c r="G19" i="13"/>
  <c r="F19" i="13"/>
  <c r="E19" i="13"/>
  <c r="D19" i="13"/>
  <c r="C19" i="13"/>
  <c r="B19" i="13"/>
  <c r="A19" i="13"/>
  <c r="I18" i="13"/>
  <c r="H18" i="13"/>
  <c r="G18" i="13"/>
  <c r="F18" i="13"/>
  <c r="E18" i="13"/>
  <c r="D18" i="13"/>
  <c r="C18" i="13"/>
  <c r="B18" i="13"/>
  <c r="A18" i="13"/>
  <c r="I17" i="13"/>
  <c r="H17" i="13"/>
  <c r="G17" i="13"/>
  <c r="F17" i="13"/>
  <c r="E17" i="13"/>
  <c r="D17" i="13"/>
  <c r="C17" i="13"/>
  <c r="B17" i="13"/>
  <c r="A17" i="13"/>
  <c r="I16" i="13"/>
  <c r="H16" i="13"/>
  <c r="G16" i="13"/>
  <c r="F16" i="13"/>
  <c r="E16" i="13"/>
  <c r="D16" i="13"/>
  <c r="C16" i="13"/>
  <c r="B16" i="13"/>
  <c r="A16" i="13"/>
  <c r="I15" i="13"/>
  <c r="H15" i="13"/>
  <c r="G15" i="13"/>
  <c r="F15" i="13"/>
  <c r="E15" i="13"/>
  <c r="D15" i="13"/>
  <c r="C15" i="13"/>
  <c r="B15" i="13"/>
  <c r="A15" i="13"/>
  <c r="I14" i="13"/>
  <c r="H14" i="13"/>
  <c r="G14" i="13"/>
  <c r="F14" i="13"/>
  <c r="E14" i="13"/>
  <c r="D14" i="13"/>
  <c r="C14" i="13"/>
  <c r="B14" i="13"/>
  <c r="A14" i="13"/>
  <c r="I13" i="13"/>
  <c r="H13" i="13"/>
  <c r="G13" i="13"/>
  <c r="F13" i="13"/>
  <c r="E13" i="13"/>
  <c r="D13" i="13"/>
  <c r="C13" i="13"/>
  <c r="B13" i="13"/>
  <c r="A13" i="13"/>
  <c r="I12" i="13"/>
  <c r="H12" i="13"/>
  <c r="G12" i="13"/>
  <c r="F12" i="13"/>
  <c r="E12" i="13"/>
  <c r="D12" i="13"/>
  <c r="C12" i="13"/>
  <c r="B12" i="13"/>
  <c r="A12" i="13"/>
  <c r="I11" i="13"/>
  <c r="H11" i="13"/>
  <c r="G11" i="13"/>
  <c r="F11" i="13"/>
  <c r="E11" i="13"/>
  <c r="D11" i="13"/>
  <c r="C11" i="13"/>
  <c r="B11" i="13"/>
  <c r="A11" i="13"/>
  <c r="I10" i="13"/>
  <c r="H10" i="13"/>
  <c r="G10" i="13"/>
  <c r="F10" i="13"/>
  <c r="E10" i="13"/>
  <c r="D10" i="13"/>
  <c r="C10" i="13"/>
  <c r="B10" i="13"/>
  <c r="A10" i="13"/>
  <c r="I9" i="13"/>
  <c r="H9" i="13"/>
  <c r="G9" i="13"/>
  <c r="F9" i="13"/>
  <c r="E9" i="13"/>
  <c r="D9" i="13"/>
  <c r="C9" i="13"/>
  <c r="B9" i="13"/>
  <c r="A9" i="13"/>
  <c r="I8" i="13"/>
  <c r="H8" i="13"/>
  <c r="G8" i="13"/>
  <c r="F8" i="13"/>
  <c r="E8" i="13"/>
  <c r="D8" i="13"/>
  <c r="C8" i="13"/>
  <c r="B8" i="13"/>
  <c r="A8" i="13"/>
  <c r="I7" i="13"/>
  <c r="H7" i="13"/>
  <c r="G7" i="13"/>
  <c r="F7" i="13"/>
  <c r="E7" i="13"/>
  <c r="D7" i="13"/>
  <c r="C7" i="13"/>
  <c r="B7" i="13"/>
  <c r="A7" i="13"/>
  <c r="I6" i="13"/>
  <c r="H6" i="13"/>
  <c r="G6" i="13"/>
  <c r="F6" i="13"/>
  <c r="E6" i="13"/>
  <c r="D6" i="13"/>
  <c r="C6" i="13"/>
  <c r="B6" i="13"/>
  <c r="A6" i="13"/>
  <c r="I5" i="13"/>
  <c r="H5" i="13"/>
  <c r="G5" i="13"/>
  <c r="F5" i="13"/>
  <c r="E5" i="13"/>
  <c r="D5" i="13"/>
  <c r="C5" i="13"/>
  <c r="B5" i="13"/>
  <c r="A5" i="13"/>
  <c r="A5" i="12"/>
  <c r="I39" i="12"/>
  <c r="H39" i="12"/>
  <c r="G39" i="12"/>
  <c r="F39" i="12"/>
  <c r="E39" i="12"/>
  <c r="D39" i="12"/>
  <c r="C39" i="12"/>
  <c r="B39" i="12"/>
  <c r="A39" i="12"/>
  <c r="I38" i="12"/>
  <c r="H38" i="12"/>
  <c r="G38" i="12"/>
  <c r="F38" i="12"/>
  <c r="E38" i="12"/>
  <c r="D38" i="12"/>
  <c r="C38" i="12"/>
  <c r="B38" i="12"/>
  <c r="A38" i="12"/>
  <c r="I37" i="12"/>
  <c r="H37" i="12"/>
  <c r="G37" i="12"/>
  <c r="F37" i="12"/>
  <c r="E37" i="12"/>
  <c r="D37" i="12"/>
  <c r="C37" i="12"/>
  <c r="B37" i="12"/>
  <c r="A37" i="12"/>
  <c r="I36" i="12"/>
  <c r="H36" i="12"/>
  <c r="G36" i="12"/>
  <c r="F36" i="12"/>
  <c r="E36" i="12"/>
  <c r="D36" i="12"/>
  <c r="C36" i="12"/>
  <c r="B36" i="12"/>
  <c r="A36" i="12"/>
  <c r="I35" i="12"/>
  <c r="H35" i="12"/>
  <c r="G35" i="12"/>
  <c r="F35" i="12"/>
  <c r="E35" i="12"/>
  <c r="D35" i="12"/>
  <c r="C35" i="12"/>
  <c r="B35" i="12"/>
  <c r="A35" i="12"/>
  <c r="I34" i="12"/>
  <c r="H34" i="12"/>
  <c r="G34" i="12"/>
  <c r="F34" i="12"/>
  <c r="E34" i="12"/>
  <c r="D34" i="12"/>
  <c r="C34" i="12"/>
  <c r="B34" i="12"/>
  <c r="A34" i="12"/>
  <c r="I33" i="12"/>
  <c r="H33" i="12"/>
  <c r="G33" i="12"/>
  <c r="F33" i="12"/>
  <c r="E33" i="12"/>
  <c r="D33" i="12"/>
  <c r="C33" i="12"/>
  <c r="B33" i="12"/>
  <c r="A33" i="12"/>
  <c r="I32" i="12"/>
  <c r="H32" i="12"/>
  <c r="G32" i="12"/>
  <c r="F32" i="12"/>
  <c r="E32" i="12"/>
  <c r="D32" i="12"/>
  <c r="C32" i="12"/>
  <c r="B32" i="12"/>
  <c r="A32" i="12"/>
  <c r="I31" i="12"/>
  <c r="H31" i="12"/>
  <c r="G31" i="12"/>
  <c r="F31" i="12"/>
  <c r="E31" i="12"/>
  <c r="D31" i="12"/>
  <c r="C31" i="12"/>
  <c r="B31" i="12"/>
  <c r="A31" i="12"/>
  <c r="I30" i="12"/>
  <c r="H30" i="12"/>
  <c r="G30" i="12"/>
  <c r="F30" i="12"/>
  <c r="E30" i="12"/>
  <c r="D30" i="12"/>
  <c r="C30" i="12"/>
  <c r="B30" i="12"/>
  <c r="A30" i="12"/>
  <c r="I29" i="12"/>
  <c r="H29" i="12"/>
  <c r="G29" i="12"/>
  <c r="F29" i="12"/>
  <c r="E29" i="12"/>
  <c r="D29" i="12"/>
  <c r="C29" i="12"/>
  <c r="B29" i="12"/>
  <c r="A29" i="12"/>
  <c r="I28" i="12"/>
  <c r="H28" i="12"/>
  <c r="G28" i="12"/>
  <c r="F28" i="12"/>
  <c r="E28" i="12"/>
  <c r="D28" i="12"/>
  <c r="C28" i="12"/>
  <c r="B28" i="12"/>
  <c r="A28" i="12"/>
  <c r="I27" i="12"/>
  <c r="H27" i="12"/>
  <c r="G27" i="12"/>
  <c r="F27" i="12"/>
  <c r="E27" i="12"/>
  <c r="D27" i="12"/>
  <c r="C27" i="12"/>
  <c r="B27" i="12"/>
  <c r="A27" i="12"/>
  <c r="I26" i="12"/>
  <c r="H26" i="12"/>
  <c r="G26" i="12"/>
  <c r="F26" i="12"/>
  <c r="E26" i="12"/>
  <c r="D26" i="12"/>
  <c r="C26" i="12"/>
  <c r="B26" i="12"/>
  <c r="A26" i="12"/>
  <c r="I25" i="12"/>
  <c r="H25" i="12"/>
  <c r="G25" i="12"/>
  <c r="F25" i="12"/>
  <c r="E25" i="12"/>
  <c r="D25" i="12"/>
  <c r="C25" i="12"/>
  <c r="B25" i="12"/>
  <c r="A25" i="12"/>
  <c r="I24" i="12"/>
  <c r="H24" i="12"/>
  <c r="G24" i="12"/>
  <c r="F24" i="12"/>
  <c r="E24" i="12"/>
  <c r="D24" i="12"/>
  <c r="C24" i="12"/>
  <c r="B24" i="12"/>
  <c r="A24" i="12"/>
  <c r="I23" i="12"/>
  <c r="H23" i="12"/>
  <c r="G23" i="12"/>
  <c r="F23" i="12"/>
  <c r="E23" i="12"/>
  <c r="D23" i="12"/>
  <c r="C23" i="12"/>
  <c r="B23" i="12"/>
  <c r="A23" i="12"/>
  <c r="I22" i="12"/>
  <c r="H22" i="12"/>
  <c r="G22" i="12"/>
  <c r="F22" i="12"/>
  <c r="E22" i="12"/>
  <c r="D22" i="12"/>
  <c r="C22" i="12"/>
  <c r="B22" i="12"/>
  <c r="A22" i="12"/>
  <c r="I21" i="12"/>
  <c r="H21" i="12"/>
  <c r="G21" i="12"/>
  <c r="F21" i="12"/>
  <c r="E21" i="12"/>
  <c r="D21" i="12"/>
  <c r="C21" i="12"/>
  <c r="B21" i="12"/>
  <c r="A21" i="12"/>
  <c r="I20" i="12"/>
  <c r="H20" i="12"/>
  <c r="G20" i="12"/>
  <c r="F20" i="12"/>
  <c r="E20" i="12"/>
  <c r="D20" i="12"/>
  <c r="C20" i="12"/>
  <c r="B20" i="12"/>
  <c r="A20" i="12"/>
  <c r="I19" i="12"/>
  <c r="H19" i="12"/>
  <c r="G19" i="12"/>
  <c r="F19" i="12"/>
  <c r="E19" i="12"/>
  <c r="D19" i="12"/>
  <c r="C19" i="12"/>
  <c r="B19" i="12"/>
  <c r="A19" i="12"/>
  <c r="I18" i="12"/>
  <c r="H18" i="12"/>
  <c r="G18" i="12"/>
  <c r="F18" i="12"/>
  <c r="E18" i="12"/>
  <c r="D18" i="12"/>
  <c r="C18" i="12"/>
  <c r="B18" i="12"/>
  <c r="A18" i="12"/>
  <c r="I17" i="12"/>
  <c r="H17" i="12"/>
  <c r="G17" i="12"/>
  <c r="F17" i="12"/>
  <c r="E17" i="12"/>
  <c r="D17" i="12"/>
  <c r="C17" i="12"/>
  <c r="B17" i="12"/>
  <c r="A17" i="12"/>
  <c r="I16" i="12"/>
  <c r="H16" i="12"/>
  <c r="G16" i="12"/>
  <c r="F16" i="12"/>
  <c r="E16" i="12"/>
  <c r="D16" i="12"/>
  <c r="C16" i="12"/>
  <c r="B16" i="12"/>
  <c r="A16" i="12"/>
  <c r="I15" i="12"/>
  <c r="H15" i="12"/>
  <c r="G15" i="12"/>
  <c r="F15" i="12"/>
  <c r="E15" i="12"/>
  <c r="D15" i="12"/>
  <c r="C15" i="12"/>
  <c r="B15" i="12"/>
  <c r="A15" i="12"/>
  <c r="I14" i="12"/>
  <c r="H14" i="12"/>
  <c r="G14" i="12"/>
  <c r="F14" i="12"/>
  <c r="E14" i="12"/>
  <c r="D14" i="12"/>
  <c r="C14" i="12"/>
  <c r="B14" i="12"/>
  <c r="A14" i="12"/>
  <c r="I13" i="12"/>
  <c r="H13" i="12"/>
  <c r="G13" i="12"/>
  <c r="F13" i="12"/>
  <c r="E13" i="12"/>
  <c r="D13" i="12"/>
  <c r="C13" i="12"/>
  <c r="B13" i="12"/>
  <c r="A13" i="12"/>
  <c r="I12" i="12"/>
  <c r="H12" i="12"/>
  <c r="G12" i="12"/>
  <c r="F12" i="12"/>
  <c r="E12" i="12"/>
  <c r="D12" i="12"/>
  <c r="C12" i="12"/>
  <c r="B12" i="12"/>
  <c r="A12" i="12"/>
  <c r="I11" i="12"/>
  <c r="H11" i="12"/>
  <c r="G11" i="12"/>
  <c r="F11" i="12"/>
  <c r="E11" i="12"/>
  <c r="D11" i="12"/>
  <c r="C11" i="12"/>
  <c r="B11" i="12"/>
  <c r="A11" i="12"/>
  <c r="I10" i="12"/>
  <c r="H10" i="12"/>
  <c r="G10" i="12"/>
  <c r="F10" i="12"/>
  <c r="E10" i="12"/>
  <c r="D10" i="12"/>
  <c r="C10" i="12"/>
  <c r="B10" i="12"/>
  <c r="A10" i="12"/>
  <c r="I9" i="12"/>
  <c r="H9" i="12"/>
  <c r="G9" i="12"/>
  <c r="F9" i="12"/>
  <c r="E9" i="12"/>
  <c r="D9" i="12"/>
  <c r="C9" i="12"/>
  <c r="B9" i="12"/>
  <c r="A9" i="12"/>
  <c r="I8" i="12"/>
  <c r="H8" i="12"/>
  <c r="G8" i="12"/>
  <c r="F8" i="12"/>
  <c r="E8" i="12"/>
  <c r="D8" i="12"/>
  <c r="C8" i="12"/>
  <c r="B8" i="12"/>
  <c r="A8" i="12"/>
  <c r="I7" i="12"/>
  <c r="H7" i="12"/>
  <c r="G7" i="12"/>
  <c r="F7" i="12"/>
  <c r="E7" i="12"/>
  <c r="D7" i="12"/>
  <c r="C7" i="12"/>
  <c r="B7" i="12"/>
  <c r="A7" i="12"/>
  <c r="I6" i="12"/>
  <c r="H6" i="12"/>
  <c r="G6" i="12"/>
  <c r="F6" i="12"/>
  <c r="E6" i="12"/>
  <c r="D6" i="12"/>
  <c r="C6" i="12"/>
  <c r="B6" i="12"/>
  <c r="A6" i="12"/>
  <c r="I5" i="12"/>
  <c r="H5" i="12"/>
  <c r="G5" i="12"/>
  <c r="F5" i="12"/>
  <c r="E5" i="12"/>
  <c r="D5" i="12"/>
  <c r="C5" i="12"/>
  <c r="B5" i="12"/>
  <c r="A5" i="6"/>
  <c r="A8" i="6"/>
  <c r="I27" i="6"/>
  <c r="H27" i="6"/>
  <c r="G27" i="6"/>
  <c r="F27" i="6"/>
  <c r="E27" i="6"/>
  <c r="D27" i="6"/>
  <c r="I26" i="6"/>
  <c r="H26" i="6"/>
  <c r="G26" i="6"/>
  <c r="F26" i="6"/>
  <c r="E26" i="6"/>
  <c r="D26" i="6"/>
  <c r="B26" i="6"/>
  <c r="A26" i="6"/>
  <c r="I25" i="6"/>
  <c r="H25" i="6"/>
  <c r="G25" i="6"/>
  <c r="F25" i="6"/>
  <c r="E25" i="6"/>
  <c r="D25" i="6"/>
  <c r="B25" i="6"/>
  <c r="A25" i="6"/>
  <c r="I24" i="6"/>
  <c r="H24" i="6"/>
  <c r="G24" i="6"/>
  <c r="F24" i="6"/>
  <c r="E24" i="6"/>
  <c r="D24" i="6"/>
  <c r="B24" i="6"/>
  <c r="A24" i="6"/>
  <c r="I23" i="6"/>
  <c r="H23" i="6"/>
  <c r="G23" i="6"/>
  <c r="F23" i="6"/>
  <c r="E23" i="6"/>
  <c r="D23" i="6"/>
  <c r="B23" i="6"/>
  <c r="A23" i="6"/>
  <c r="I22" i="6"/>
  <c r="H22" i="6"/>
  <c r="G22" i="6"/>
  <c r="F22" i="6"/>
  <c r="E22" i="6"/>
  <c r="D22" i="6"/>
  <c r="B22" i="6"/>
  <c r="A22" i="6"/>
  <c r="I21" i="6"/>
  <c r="H21" i="6"/>
  <c r="G21" i="6"/>
  <c r="F21" i="6"/>
  <c r="E21" i="6"/>
  <c r="D21" i="6"/>
  <c r="B21" i="6"/>
  <c r="A21" i="6"/>
  <c r="I20" i="6"/>
  <c r="E20" i="6"/>
  <c r="D20" i="6"/>
  <c r="B20" i="6"/>
  <c r="A20" i="6"/>
  <c r="I19" i="6"/>
  <c r="H19" i="6"/>
  <c r="G19" i="6"/>
  <c r="F19" i="6"/>
  <c r="E19" i="6"/>
  <c r="D19" i="6"/>
  <c r="B19" i="6"/>
  <c r="A19" i="6"/>
  <c r="I18" i="6"/>
  <c r="H18" i="6"/>
  <c r="G18" i="6"/>
  <c r="F18" i="6"/>
  <c r="E18" i="6"/>
  <c r="D18" i="6"/>
  <c r="B18" i="6"/>
  <c r="A18" i="6"/>
  <c r="I17" i="6"/>
  <c r="H17" i="6"/>
  <c r="G17" i="6"/>
  <c r="F17" i="6"/>
  <c r="E17" i="6"/>
  <c r="D17" i="6"/>
  <c r="B17" i="6"/>
  <c r="A17" i="6"/>
  <c r="I16" i="6"/>
  <c r="H16" i="6"/>
  <c r="G16" i="6"/>
  <c r="F16" i="6"/>
  <c r="E16" i="6"/>
  <c r="D16" i="6"/>
  <c r="B16" i="6"/>
  <c r="A16" i="6"/>
  <c r="I15" i="6"/>
  <c r="H15" i="6"/>
  <c r="G15" i="6"/>
  <c r="F15" i="6"/>
  <c r="E15" i="6"/>
  <c r="D15" i="6"/>
  <c r="B15" i="6"/>
  <c r="A15" i="6"/>
  <c r="I14" i="6"/>
  <c r="H14" i="6"/>
  <c r="G14" i="6"/>
  <c r="F14" i="6"/>
  <c r="E14" i="6"/>
  <c r="D14" i="6"/>
  <c r="B14" i="6"/>
  <c r="A14" i="6"/>
  <c r="I13" i="6"/>
  <c r="H13" i="6"/>
  <c r="G13" i="6"/>
  <c r="F13" i="6"/>
  <c r="E13" i="6"/>
  <c r="B13" i="6"/>
  <c r="A13" i="6"/>
  <c r="I12" i="6"/>
  <c r="H12" i="6"/>
  <c r="G12" i="6"/>
  <c r="F12" i="6"/>
  <c r="E12" i="6"/>
  <c r="D12" i="6"/>
  <c r="B12" i="6"/>
  <c r="A12" i="6"/>
  <c r="I11" i="6"/>
  <c r="H11" i="6"/>
  <c r="G11" i="6"/>
  <c r="F11" i="6"/>
  <c r="E11" i="6"/>
  <c r="D11" i="6"/>
  <c r="B11" i="6"/>
  <c r="A11" i="6"/>
  <c r="I10" i="6"/>
  <c r="H10" i="6"/>
  <c r="G10" i="6"/>
  <c r="F10" i="6"/>
  <c r="E10" i="6"/>
  <c r="D10" i="6"/>
  <c r="B10" i="6"/>
  <c r="A10" i="6"/>
  <c r="H9" i="6"/>
  <c r="G9" i="6"/>
  <c r="F9" i="6"/>
  <c r="E9" i="6"/>
  <c r="D9" i="6"/>
  <c r="B9" i="6"/>
  <c r="A9" i="6"/>
  <c r="I8" i="6"/>
  <c r="H8" i="6"/>
  <c r="G8" i="6"/>
  <c r="F8" i="6"/>
  <c r="E8" i="6"/>
  <c r="D8" i="6"/>
  <c r="B8" i="6"/>
  <c r="I7" i="6"/>
  <c r="H7" i="6"/>
  <c r="G7" i="6"/>
  <c r="F7" i="6"/>
  <c r="E7" i="6"/>
  <c r="D7" i="6"/>
  <c r="B7" i="6"/>
  <c r="A7" i="6"/>
  <c r="I6" i="6"/>
  <c r="H6" i="6"/>
  <c r="G6" i="6"/>
  <c r="F6" i="6"/>
  <c r="E6" i="6"/>
  <c r="D6" i="6"/>
  <c r="C6" i="6"/>
  <c r="B6" i="6"/>
  <c r="A6" i="6"/>
  <c r="I5" i="6"/>
  <c r="H5" i="6"/>
  <c r="G5" i="6"/>
  <c r="F5" i="6"/>
  <c r="E5" i="6"/>
  <c r="D5" i="6"/>
  <c r="C5" i="6"/>
  <c r="B5" i="6"/>
  <c r="I37" i="4"/>
  <c r="H37" i="4"/>
  <c r="G37" i="4"/>
  <c r="F37" i="4"/>
  <c r="E37" i="4"/>
  <c r="D37" i="4"/>
  <c r="C37" i="4"/>
  <c r="B37" i="4"/>
  <c r="A37" i="4"/>
  <c r="I36" i="4"/>
  <c r="H36" i="4"/>
  <c r="G36" i="4"/>
  <c r="F36" i="4"/>
  <c r="E36" i="4"/>
  <c r="D36" i="4"/>
  <c r="C36" i="4"/>
  <c r="B36" i="4"/>
  <c r="A36" i="4"/>
  <c r="I35" i="4"/>
  <c r="H35" i="4"/>
  <c r="G35" i="4"/>
  <c r="F35" i="4"/>
  <c r="E35" i="4"/>
  <c r="D35" i="4"/>
  <c r="C35" i="4"/>
  <c r="B35" i="4"/>
  <c r="A35" i="4"/>
  <c r="I34" i="4"/>
  <c r="H34" i="4"/>
  <c r="G34" i="4"/>
  <c r="F34" i="4"/>
  <c r="E34" i="4"/>
  <c r="D34" i="4"/>
  <c r="C34" i="4"/>
  <c r="B34" i="4"/>
  <c r="A34" i="4"/>
  <c r="I33" i="4"/>
  <c r="H33" i="4"/>
  <c r="G33" i="4"/>
  <c r="F33" i="4"/>
  <c r="E33" i="4"/>
  <c r="D33" i="4"/>
  <c r="C33" i="4"/>
  <c r="B33" i="4"/>
  <c r="A33" i="4"/>
  <c r="I32" i="4"/>
  <c r="H32" i="4"/>
  <c r="G32" i="4"/>
  <c r="F32" i="4"/>
  <c r="E32" i="4"/>
  <c r="D32" i="4"/>
  <c r="C32" i="4"/>
  <c r="B32" i="4"/>
  <c r="A32" i="4"/>
  <c r="I31" i="4"/>
  <c r="H31" i="4"/>
  <c r="G31" i="4"/>
  <c r="F31" i="4"/>
  <c r="E31" i="4"/>
  <c r="D31" i="4"/>
  <c r="C31" i="4"/>
  <c r="B31" i="4"/>
  <c r="A31" i="4"/>
  <c r="I30" i="4"/>
  <c r="H30" i="4"/>
  <c r="G30" i="4"/>
  <c r="F30" i="4"/>
  <c r="E30" i="4"/>
  <c r="D30" i="4"/>
  <c r="C30" i="4"/>
  <c r="B30" i="4"/>
  <c r="A30" i="4"/>
  <c r="I29" i="4"/>
  <c r="H29" i="4"/>
  <c r="G29" i="4"/>
  <c r="F29" i="4"/>
  <c r="E29" i="4"/>
  <c r="D29" i="4"/>
  <c r="C29" i="4"/>
  <c r="B29" i="4"/>
  <c r="A29" i="4"/>
  <c r="I28" i="4"/>
  <c r="H28" i="4"/>
  <c r="G28" i="4"/>
  <c r="F28" i="4"/>
  <c r="E28" i="4"/>
  <c r="D28" i="4"/>
  <c r="C28" i="4"/>
  <c r="B28" i="4"/>
  <c r="A28" i="4"/>
  <c r="I27" i="4"/>
  <c r="H27" i="4"/>
  <c r="G27" i="4"/>
  <c r="F27" i="4"/>
  <c r="E27" i="4"/>
  <c r="D27" i="4"/>
  <c r="C27" i="4"/>
  <c r="B27" i="4"/>
  <c r="A27" i="4"/>
  <c r="I26" i="4"/>
  <c r="H26" i="4"/>
  <c r="G26" i="4"/>
  <c r="F26" i="4"/>
  <c r="E26" i="4"/>
  <c r="D26" i="4"/>
  <c r="C26" i="4"/>
  <c r="B26" i="4"/>
  <c r="A26" i="4"/>
  <c r="I25" i="4"/>
  <c r="H25" i="4"/>
  <c r="G25" i="4"/>
  <c r="F25" i="4"/>
  <c r="E25" i="4"/>
  <c r="D25" i="4"/>
  <c r="C25" i="4"/>
  <c r="B25" i="4"/>
  <c r="A25" i="4"/>
  <c r="I24" i="4"/>
  <c r="H24" i="4"/>
  <c r="G24" i="4"/>
  <c r="F24" i="4"/>
  <c r="E24" i="4"/>
  <c r="D24" i="4"/>
  <c r="C24" i="4"/>
  <c r="B24" i="4"/>
  <c r="A24" i="4"/>
  <c r="I23" i="4"/>
  <c r="H23" i="4"/>
  <c r="G23" i="4"/>
  <c r="F23" i="4"/>
  <c r="E23" i="4"/>
  <c r="D23" i="4"/>
  <c r="C23" i="4"/>
  <c r="B23" i="4"/>
  <c r="A23" i="4"/>
  <c r="I22" i="4"/>
  <c r="H22" i="4"/>
  <c r="G22" i="4"/>
  <c r="F22" i="4"/>
  <c r="E22" i="4"/>
  <c r="D22" i="4"/>
  <c r="C22" i="4"/>
  <c r="B22" i="4"/>
  <c r="A22" i="4"/>
  <c r="I21" i="4"/>
  <c r="H21" i="4"/>
  <c r="G21" i="4"/>
  <c r="F21" i="4"/>
  <c r="E21" i="4"/>
  <c r="D21" i="4"/>
  <c r="C21" i="4"/>
  <c r="B21" i="4"/>
  <c r="A21" i="4"/>
  <c r="I20" i="4"/>
  <c r="H20" i="4"/>
  <c r="G20" i="4"/>
  <c r="F20" i="4"/>
  <c r="E20" i="4"/>
  <c r="D20" i="4"/>
  <c r="C20" i="4"/>
  <c r="B20" i="4"/>
  <c r="A20" i="4"/>
  <c r="I19" i="4"/>
  <c r="H19" i="4"/>
  <c r="G19" i="4"/>
  <c r="F19" i="4"/>
  <c r="E19" i="4"/>
  <c r="D19" i="4"/>
  <c r="C19" i="4"/>
  <c r="B19" i="4"/>
  <c r="A19" i="4"/>
  <c r="I18" i="4"/>
  <c r="H18" i="4"/>
  <c r="G18" i="4"/>
  <c r="F18" i="4"/>
  <c r="E18" i="4"/>
  <c r="D18" i="4"/>
  <c r="C18" i="4"/>
  <c r="B18" i="4"/>
  <c r="A18" i="4"/>
  <c r="I17" i="4"/>
  <c r="H17" i="4"/>
  <c r="G17" i="4"/>
  <c r="F17" i="4"/>
  <c r="E17" i="4"/>
  <c r="D17" i="4"/>
  <c r="C17" i="4"/>
  <c r="B17" i="4"/>
  <c r="A17" i="4"/>
  <c r="I16" i="4"/>
  <c r="H16" i="4"/>
  <c r="G16" i="4"/>
  <c r="F16" i="4"/>
  <c r="E16" i="4"/>
  <c r="D16" i="4"/>
  <c r="C16" i="4"/>
  <c r="B16" i="4"/>
  <c r="A16" i="4"/>
  <c r="I15" i="4"/>
  <c r="H15" i="4"/>
  <c r="G15" i="4"/>
  <c r="F15" i="4"/>
  <c r="E15" i="4"/>
  <c r="D15" i="4"/>
  <c r="C15" i="4"/>
  <c r="B15" i="4"/>
  <c r="A15" i="4"/>
  <c r="I14" i="4"/>
  <c r="H14" i="4"/>
  <c r="G14" i="4"/>
  <c r="F14" i="4"/>
  <c r="E14" i="4"/>
  <c r="D14" i="4"/>
  <c r="C14" i="4"/>
  <c r="B14" i="4"/>
  <c r="A14" i="4"/>
  <c r="I13" i="4"/>
  <c r="H13" i="4"/>
  <c r="G13" i="4"/>
  <c r="F13" i="4"/>
  <c r="E13" i="4"/>
  <c r="D13" i="4"/>
  <c r="C13" i="4"/>
  <c r="B13" i="4"/>
  <c r="A13" i="4"/>
  <c r="I12" i="4"/>
  <c r="H12" i="4"/>
  <c r="G12" i="4"/>
  <c r="F12" i="4"/>
  <c r="E12" i="4"/>
  <c r="D12" i="4"/>
  <c r="C12" i="4"/>
  <c r="B12" i="4"/>
  <c r="A12" i="4"/>
  <c r="I11" i="4"/>
  <c r="H11" i="4"/>
  <c r="G11" i="4"/>
  <c r="F11" i="4"/>
  <c r="E11" i="4"/>
  <c r="D11" i="4"/>
  <c r="C11" i="4"/>
  <c r="B11" i="4"/>
  <c r="A11" i="4"/>
  <c r="I10" i="4"/>
  <c r="H10" i="4"/>
  <c r="G10" i="4"/>
  <c r="F10" i="4"/>
  <c r="E10" i="4"/>
  <c r="D10" i="4"/>
  <c r="C10" i="4"/>
  <c r="B10" i="4"/>
  <c r="A10" i="4"/>
  <c r="I9" i="4"/>
  <c r="H9" i="4"/>
  <c r="G9" i="4"/>
  <c r="F9" i="4"/>
  <c r="E9" i="4"/>
  <c r="D9" i="4"/>
  <c r="C9" i="4"/>
  <c r="B9" i="4"/>
  <c r="A9" i="4"/>
  <c r="I8" i="4"/>
  <c r="H8" i="4"/>
  <c r="G8" i="4"/>
  <c r="F8" i="4"/>
  <c r="E8" i="4"/>
  <c r="D8" i="4"/>
  <c r="C8" i="4"/>
  <c r="B8" i="4"/>
  <c r="A8" i="4"/>
  <c r="I7" i="4"/>
  <c r="H7" i="4"/>
  <c r="G7" i="4"/>
  <c r="F7" i="4"/>
  <c r="E7" i="4"/>
  <c r="D7" i="4"/>
  <c r="C7" i="4"/>
  <c r="B7" i="4"/>
  <c r="A7" i="4"/>
  <c r="I6" i="4"/>
  <c r="H6" i="4"/>
  <c r="G6" i="4"/>
  <c r="F6" i="4"/>
  <c r="E6" i="4"/>
  <c r="D6" i="4"/>
  <c r="C6" i="4"/>
  <c r="B6" i="4"/>
  <c r="A6" i="4"/>
  <c r="I5" i="4"/>
  <c r="H5" i="4"/>
  <c r="G5" i="4"/>
  <c r="F5" i="4"/>
  <c r="E5" i="4"/>
  <c r="D5" i="4"/>
  <c r="C5" i="4"/>
  <c r="B5" i="4"/>
  <c r="A5" i="4"/>
  <c r="A5" i="10"/>
  <c r="I31" i="10"/>
  <c r="H31" i="10"/>
  <c r="G31" i="10"/>
  <c r="F31" i="10"/>
  <c r="E31" i="10"/>
  <c r="D31" i="10"/>
  <c r="C31" i="10"/>
  <c r="B31" i="10"/>
  <c r="A31" i="10"/>
  <c r="I30" i="10"/>
  <c r="H30" i="10"/>
  <c r="G30" i="10"/>
  <c r="F30" i="10"/>
  <c r="E30" i="10"/>
  <c r="D30" i="10"/>
  <c r="C30" i="10"/>
  <c r="B30" i="10"/>
  <c r="A30" i="10"/>
  <c r="I29" i="10"/>
  <c r="H29" i="10"/>
  <c r="G29" i="10"/>
  <c r="F29" i="10"/>
  <c r="E29" i="10"/>
  <c r="D29" i="10"/>
  <c r="C29" i="10"/>
  <c r="B29" i="10"/>
  <c r="A29" i="10"/>
  <c r="I28" i="10"/>
  <c r="H28" i="10"/>
  <c r="G28" i="10"/>
  <c r="F28" i="10"/>
  <c r="E28" i="10"/>
  <c r="D28" i="10"/>
  <c r="C28" i="10"/>
  <c r="B28" i="10"/>
  <c r="A28" i="10"/>
  <c r="I27" i="10"/>
  <c r="H27" i="10"/>
  <c r="G27" i="10"/>
  <c r="F27" i="10"/>
  <c r="E27" i="10"/>
  <c r="D27" i="10"/>
  <c r="C27" i="10"/>
  <c r="B27" i="10"/>
  <c r="A27" i="10"/>
  <c r="I26" i="10"/>
  <c r="H26" i="10"/>
  <c r="G26" i="10"/>
  <c r="F26" i="10"/>
  <c r="E26" i="10"/>
  <c r="D26" i="10"/>
  <c r="C26" i="10"/>
  <c r="B26" i="10"/>
  <c r="A26" i="10"/>
  <c r="I25" i="10"/>
  <c r="H25" i="10"/>
  <c r="G25" i="10"/>
  <c r="F25" i="10"/>
  <c r="E25" i="10"/>
  <c r="D25" i="10"/>
  <c r="C25" i="10"/>
  <c r="B25" i="10"/>
  <c r="A25" i="10"/>
  <c r="I24" i="10"/>
  <c r="H24" i="10"/>
  <c r="G24" i="10"/>
  <c r="F24" i="10"/>
  <c r="E24" i="10"/>
  <c r="D24" i="10"/>
  <c r="C24" i="10"/>
  <c r="B24" i="10"/>
  <c r="A24" i="10"/>
  <c r="I23" i="10"/>
  <c r="H23" i="10"/>
  <c r="G23" i="10"/>
  <c r="F23" i="10"/>
  <c r="E23" i="10"/>
  <c r="D23" i="10"/>
  <c r="C23" i="10"/>
  <c r="B23" i="10"/>
  <c r="A23" i="10"/>
  <c r="I22" i="10"/>
  <c r="H22" i="10"/>
  <c r="G22" i="10"/>
  <c r="F22" i="10"/>
  <c r="E22" i="10"/>
  <c r="D22" i="10"/>
  <c r="C22" i="10"/>
  <c r="B22" i="10"/>
  <c r="A22" i="10"/>
  <c r="I21" i="10"/>
  <c r="H21" i="10"/>
  <c r="G21" i="10"/>
  <c r="F21" i="10"/>
  <c r="E21" i="10"/>
  <c r="D21" i="10"/>
  <c r="C21" i="10"/>
  <c r="B21" i="10"/>
  <c r="A21" i="10"/>
  <c r="I20" i="10"/>
  <c r="H20" i="10"/>
  <c r="G20" i="10"/>
  <c r="F20" i="10"/>
  <c r="E20" i="10"/>
  <c r="D20" i="10"/>
  <c r="C20" i="10"/>
  <c r="B20" i="10"/>
  <c r="A20" i="10"/>
  <c r="I19" i="10"/>
  <c r="H19" i="10"/>
  <c r="G19" i="10"/>
  <c r="F19" i="10"/>
  <c r="E19" i="10"/>
  <c r="D19" i="10"/>
  <c r="C19" i="10"/>
  <c r="B19" i="10"/>
  <c r="A19" i="10"/>
  <c r="I18" i="10"/>
  <c r="H18" i="10"/>
  <c r="G18" i="10"/>
  <c r="F18" i="10"/>
  <c r="E18" i="10"/>
  <c r="D18" i="10"/>
  <c r="C18" i="10"/>
  <c r="B18" i="10"/>
  <c r="A18" i="10"/>
  <c r="I17" i="10"/>
  <c r="H17" i="10"/>
  <c r="G17" i="10"/>
  <c r="F17" i="10"/>
  <c r="E17" i="10"/>
  <c r="D17" i="10"/>
  <c r="C17" i="10"/>
  <c r="B17" i="10"/>
  <c r="A17" i="10"/>
  <c r="I16" i="10"/>
  <c r="H16" i="10"/>
  <c r="G16" i="10"/>
  <c r="F16" i="10"/>
  <c r="E16" i="10"/>
  <c r="D16" i="10"/>
  <c r="C16" i="10"/>
  <c r="B16" i="10"/>
  <c r="A16" i="10"/>
  <c r="I15" i="10"/>
  <c r="H15" i="10"/>
  <c r="G15" i="10"/>
  <c r="F15" i="10"/>
  <c r="E15" i="10"/>
  <c r="D15" i="10"/>
  <c r="C15" i="10"/>
  <c r="B15" i="10"/>
  <c r="A15" i="10"/>
  <c r="I14" i="10"/>
  <c r="H14" i="10"/>
  <c r="G14" i="10"/>
  <c r="F14" i="10"/>
  <c r="E14" i="10"/>
  <c r="D14" i="10"/>
  <c r="C14" i="10"/>
  <c r="B14" i="10"/>
  <c r="A14" i="10"/>
  <c r="I13" i="10"/>
  <c r="H13" i="10"/>
  <c r="G13" i="10"/>
  <c r="F13" i="10"/>
  <c r="E13" i="10"/>
  <c r="D13" i="10"/>
  <c r="C13" i="10"/>
  <c r="B13" i="10"/>
  <c r="A13" i="10"/>
  <c r="I12" i="10"/>
  <c r="H12" i="10"/>
  <c r="G12" i="10"/>
  <c r="F12" i="10"/>
  <c r="E12" i="10"/>
  <c r="D12" i="10"/>
  <c r="C12" i="10"/>
  <c r="B12" i="10"/>
  <c r="A12" i="10"/>
  <c r="I11" i="10"/>
  <c r="H11" i="10"/>
  <c r="G11" i="10"/>
  <c r="F11" i="10"/>
  <c r="E11" i="10"/>
  <c r="D11" i="10"/>
  <c r="C11" i="10"/>
  <c r="B11" i="10"/>
  <c r="A11" i="10"/>
  <c r="I10" i="10"/>
  <c r="H10" i="10"/>
  <c r="G10" i="10"/>
  <c r="F10" i="10"/>
  <c r="E10" i="10"/>
  <c r="D10" i="10"/>
  <c r="C10" i="10"/>
  <c r="B10" i="10"/>
  <c r="A10" i="10"/>
  <c r="I9" i="10"/>
  <c r="H9" i="10"/>
  <c r="G9" i="10"/>
  <c r="F9" i="10"/>
  <c r="E9" i="10"/>
  <c r="D9" i="10"/>
  <c r="C9" i="10"/>
  <c r="B9" i="10"/>
  <c r="A9" i="10"/>
  <c r="I8" i="10"/>
  <c r="H8" i="10"/>
  <c r="G8" i="10"/>
  <c r="F8" i="10"/>
  <c r="E8" i="10"/>
  <c r="D8" i="10"/>
  <c r="C8" i="10"/>
  <c r="B8" i="10"/>
  <c r="A8" i="10"/>
  <c r="I7" i="10"/>
  <c r="H7" i="10"/>
  <c r="G7" i="10"/>
  <c r="F7" i="10"/>
  <c r="E7" i="10"/>
  <c r="D7" i="10"/>
  <c r="C7" i="10"/>
  <c r="B7" i="10"/>
  <c r="A7" i="10"/>
  <c r="I6" i="10"/>
  <c r="H6" i="10"/>
  <c r="G6" i="10"/>
  <c r="F6" i="10"/>
  <c r="E6" i="10"/>
  <c r="D6" i="10"/>
  <c r="C6" i="10"/>
  <c r="B6" i="10"/>
  <c r="A6" i="10"/>
  <c r="I5" i="10"/>
  <c r="H5" i="10"/>
  <c r="G5" i="10"/>
  <c r="F5" i="10"/>
  <c r="E5" i="10"/>
  <c r="D5" i="10"/>
  <c r="C5" i="10"/>
  <c r="B5" i="10"/>
  <c r="C47" i="10"/>
  <c r="B44" i="10"/>
  <c r="C43" i="10"/>
  <c r="C44" i="10" s="1"/>
  <c r="B43" i="10"/>
  <c r="G54" i="9"/>
  <c r="G53" i="9"/>
  <c r="G52" i="9"/>
  <c r="G51" i="9"/>
  <c r="G50" i="9"/>
  <c r="G49" i="9"/>
  <c r="G48" i="9"/>
  <c r="G47" i="9"/>
  <c r="G46" i="9"/>
  <c r="G45" i="9"/>
  <c r="G44" i="9"/>
  <c r="G43" i="9"/>
  <c r="G42" i="9"/>
  <c r="G41" i="9"/>
  <c r="G40" i="9"/>
  <c r="G39" i="9"/>
  <c r="G29" i="9"/>
  <c r="G28" i="9"/>
  <c r="G27" i="9"/>
  <c r="G26" i="9"/>
  <c r="G25" i="9"/>
  <c r="G19" i="9"/>
  <c r="G18" i="9"/>
  <c r="G17" i="9"/>
  <c r="G16" i="9"/>
  <c r="G15" i="9"/>
  <c r="G13" i="9"/>
  <c r="G7" i="9"/>
  <c r="G6" i="9"/>
  <c r="G5" i="9"/>
  <c r="G4" i="9"/>
  <c r="C56" i="4"/>
  <c r="C57" i="4" s="1"/>
  <c r="C58" i="4" s="1"/>
  <c r="C59" i="4" s="1"/>
  <c r="C60" i="4" s="1"/>
  <c r="C61" i="4" s="1"/>
  <c r="C62" i="4" s="1"/>
  <c r="C63" i="4" s="1"/>
  <c r="C64" i="4" s="1"/>
  <c r="B45" i="4"/>
  <c r="B48" i="4" s="1"/>
  <c r="B51" i="4" s="1"/>
  <c r="B44" i="4"/>
  <c r="B47" i="4" s="1"/>
  <c r="B50" i="4" s="1"/>
  <c r="C43" i="4"/>
  <c r="C44" i="4" s="1"/>
  <c r="C45" i="4" s="1"/>
  <c r="C46" i="4" s="1"/>
  <c r="C47" i="4" s="1"/>
  <c r="C48" i="4" s="1"/>
  <c r="B43" i="4"/>
  <c r="B46" i="4" s="1"/>
  <c r="B49" i="4" s="1"/>
  <c r="C48" i="3"/>
  <c r="C49" i="3" s="1"/>
  <c r="C50" i="3" s="1"/>
  <c r="C51" i="3" s="1"/>
  <c r="C52" i="3" s="1"/>
  <c r="C53" i="3" s="1"/>
  <c r="C54" i="3" s="1"/>
  <c r="B37" i="3"/>
  <c r="B40" i="3" s="1"/>
  <c r="B43" i="3" s="1"/>
  <c r="B36" i="3"/>
  <c r="B39" i="3" s="1"/>
  <c r="B42" i="3" s="1"/>
  <c r="C35" i="3"/>
  <c r="C36" i="3" s="1"/>
  <c r="C37" i="3" s="1"/>
  <c r="C38" i="3" s="1"/>
  <c r="C39" i="3" s="1"/>
  <c r="C40" i="3" s="1"/>
  <c r="B35" i="3"/>
  <c r="B38" i="3" s="1"/>
  <c r="B41" i="3" s="1"/>
  <c r="C77" i="16" l="1"/>
  <c r="C78" i="16" s="1"/>
  <c r="C79" i="16" s="1"/>
  <c r="C80" i="16" s="1"/>
  <c r="C81" i="16" s="1"/>
  <c r="C82" i="16" s="1"/>
  <c r="C83" i="16" s="1"/>
  <c r="C84" i="16" s="1"/>
  <c r="C85" i="16" s="1"/>
  <c r="C86" i="16" s="1"/>
  <c r="C87" i="16" s="1"/>
  <c r="C88" i="16" s="1"/>
  <c r="C89" i="16" s="1"/>
  <c r="C90" i="16" s="1"/>
  <c r="C91" i="16" s="1"/>
  <c r="C92" i="16" s="1"/>
  <c r="C93" i="16" s="1"/>
  <c r="C94" i="16" s="1"/>
  <c r="C95" i="16" s="1"/>
  <c r="C96" i="16" s="1"/>
  <c r="C97" i="16" s="1"/>
  <c r="C98" i="16" s="1"/>
  <c r="C99" i="16" s="1"/>
  <c r="C100" i="16" s="1"/>
  <c r="C101" i="16" s="1"/>
  <c r="C102" i="16" s="1"/>
  <c r="C103" i="16" s="1"/>
  <c r="C104" i="16" s="1"/>
  <c r="C105" i="16" s="1"/>
  <c r="C106" i="16" s="1"/>
  <c r="C107" i="16" s="1"/>
  <c r="C108" i="16" s="1"/>
  <c r="C109" i="16" s="1"/>
  <c r="C110" i="16" s="1"/>
  <c r="C111" i="16" s="1"/>
  <c r="C112" i="16" s="1"/>
  <c r="C113" i="16" s="1"/>
  <c r="C114" i="16" s="1"/>
  <c r="C115" i="16" s="1"/>
  <c r="C116" i="16" s="1"/>
  <c r="C117" i="16" s="1"/>
  <c r="C118" i="16" s="1"/>
  <c r="C119" i="16" s="1"/>
  <c r="C120" i="16" s="1"/>
  <c r="C121" i="16" s="1"/>
  <c r="C122" i="16" s="1"/>
  <c r="C123" i="16" s="1"/>
  <c r="C124" i="16" s="1"/>
  <c r="C125" i="16" s="1"/>
</calcChain>
</file>

<file path=xl/sharedStrings.xml><?xml version="1.0" encoding="utf-8"?>
<sst xmlns="http://schemas.openxmlformats.org/spreadsheetml/2006/main" count="3980" uniqueCount="1037">
  <si>
    <t>NOME COMANDO</t>
  </si>
  <si>
    <t>CODICE CMD H (hex)</t>
  </si>
  <si>
    <t>CODICE CMD L (hex)</t>
  </si>
  <si>
    <t>DATI AGGIUNTIVI</t>
  </si>
  <si>
    <t>Versione protocollo</t>
  </si>
  <si>
    <t xml:space="preserve">Versione protocollo risposta </t>
  </si>
  <si>
    <t>VersioneH</t>
  </si>
  <si>
    <t>VersioneL</t>
  </si>
  <si>
    <t>Leggi variabile logica</t>
  </si>
  <si>
    <t>IndirizzoH</t>
  </si>
  <si>
    <t>IndirizzoL</t>
  </si>
  <si>
    <t>Leggi variabile logica risposta</t>
  </si>
  <si>
    <t>Valori di dimensione come da dizionario dati</t>
  </si>
  <si>
    <t>Scrivi variabile logica</t>
  </si>
  <si>
    <t>Scrivi variabile logica risposta</t>
  </si>
  <si>
    <t>Leggi range di variabili</t>
  </si>
  <si>
    <t>IndirizzoInizialeH</t>
  </si>
  <si>
    <t>IndirizzoInizialeL</t>
  </si>
  <si>
    <t>NumeroVariabiliH</t>
  </si>
  <si>
    <t>NumeroVariabiliL</t>
  </si>
  <si>
    <t>Leggi range di variabili risposta</t>
  </si>
  <si>
    <t>Valori di dimensione come da NumeroVariabiliHL</t>
  </si>
  <si>
    <t>Scrivi area di memoria fisica</t>
  </si>
  <si>
    <t>DimensioneArrayH</t>
  </si>
  <si>
    <t>DimensioneArrayL</t>
  </si>
  <si>
    <t>Valori di dimensione come da DimensioneArrayHL</t>
  </si>
  <si>
    <t>Scrivi area di memoria fisica risposta</t>
  </si>
  <si>
    <t>Bootloader avvio procedura</t>
  </si>
  <si>
    <t>Bootloader avvio procedura risposta</t>
  </si>
  <si>
    <t>Risultato
(0 = ok, != 0 codice errore)</t>
  </si>
  <si>
    <t>Bootloader fine procedura</t>
  </si>
  <si>
    <t>Bootloader fine procedura risposta</t>
  </si>
  <si>
    <t>Bootloader update pagina di memoria</t>
  </si>
  <si>
    <t>FwTypeH</t>
  </si>
  <si>
    <t>FwTypeL</t>
  </si>
  <si>
    <t>NumeroPaginaHH</t>
  </si>
  <si>
    <t>NumeroPaginaHL</t>
  </si>
  <si>
    <t>NumeroPaginaLH</t>
  </si>
  <si>
    <t>NumeroPaginaLL</t>
  </si>
  <si>
    <t>DimensionePaginaHH</t>
  </si>
  <si>
    <t>DimensionePaginaHL</t>
  </si>
  <si>
    <t>DimensionePaginaLH</t>
  </si>
  <si>
    <t>DimensionePaginaLL</t>
  </si>
  <si>
    <t>ReservedHH</t>
  </si>
  <si>
    <t>ReservedHL</t>
  </si>
  <si>
    <t>ReservedLH</t>
  </si>
  <si>
    <t>ReservedLL</t>
  </si>
  <si>
    <t>Valori di dimensione come da DimensionePaginaHL</t>
  </si>
  <si>
    <t>Bootloader update pagina di memoria risposta</t>
  </si>
  <si>
    <t>Risultato (0=ok, !=0 codice errore)</t>
  </si>
  <si>
    <t>Avvia macchina</t>
  </si>
  <si>
    <t>Avvia macchina risposta</t>
  </si>
  <si>
    <t>Ferma macchina</t>
  </si>
  <si>
    <t>Ferma macchina risposta</t>
  </si>
  <si>
    <t>Riavvio dispositivo</t>
  </si>
  <si>
    <t>A</t>
  </si>
  <si>
    <t>Riavvio dispositivo risposta</t>
  </si>
  <si>
    <t>B</t>
  </si>
  <si>
    <t>C</t>
  </si>
  <si>
    <t>Up da telecomando</t>
  </si>
  <si>
    <t>D</t>
  </si>
  <si>
    <t>Stato
(0 = rilasciato, 1 = premuto)</t>
  </si>
  <si>
    <t>Down da telecomando</t>
  </si>
  <si>
    <t>E</t>
  </si>
  <si>
    <t>Inizio Apprendimento</t>
  </si>
  <si>
    <t>F</t>
  </si>
  <si>
    <t>Inizio Apprendimento Risposta</t>
  </si>
  <si>
    <t>Salva Posizione</t>
  </si>
  <si>
    <t>Fermati?
(0 = no, 1 = si)</t>
  </si>
  <si>
    <t>Salva Posizione Risposta</t>
  </si>
  <si>
    <t>Fine Apprendimento</t>
  </si>
  <si>
    <t>Fine Apprendimento Risposta</t>
  </si>
  <si>
    <t>Comanda Piano</t>
  </si>
  <si>
    <t>Muovi
(0 = no, 1 = si)</t>
  </si>
  <si>
    <t>AngoloHH</t>
  </si>
  <si>
    <t>AngoloH</t>
  </si>
  <si>
    <t>AngoloLH</t>
  </si>
  <si>
    <t>AngoloLL</t>
  </si>
  <si>
    <t>Comanda Piano Risposta</t>
  </si>
  <si>
    <t xml:space="preserve">NOME </t>
  </si>
  <si>
    <t>INDIRIZZO H (hex)</t>
  </si>
  <si>
    <t>INDIRIZZO L (hex)</t>
  </si>
  <si>
    <t>TIPO</t>
  </si>
  <si>
    <t>FORMATO</t>
  </si>
  <si>
    <t>MINIMO</t>
  </si>
  <si>
    <t>MASSIMO</t>
  </si>
  <si>
    <t>UNITA' DI MISURA</t>
  </si>
  <si>
    <t>R/W</t>
  </si>
  <si>
    <t>DATI STANDARD</t>
  </si>
  <si>
    <t>SHERPA SLIM</t>
  </si>
  <si>
    <t>OPTIMUS</t>
  </si>
  <si>
    <t>Firmware macchina</t>
  </si>
  <si>
    <t xml:space="preserve">uint16_t </t>
  </si>
  <si>
    <t>R</t>
  </si>
  <si>
    <t>Dashboard</t>
  </si>
  <si>
    <t>Firmware scheda</t>
  </si>
  <si>
    <t>Modello</t>
  </si>
  <si>
    <t>String[20]</t>
  </si>
  <si>
    <t>Matricola</t>
  </si>
  <si>
    <t xml:space="preserve">uint32_t </t>
  </si>
  <si>
    <t>RW</t>
  </si>
  <si>
    <t>Tipo scheda</t>
  </si>
  <si>
    <t>enum dipendente dalle macchine</t>
  </si>
  <si>
    <t>N</t>
  </si>
  <si>
    <t>Stato</t>
  </si>
  <si>
    <t>3*uint32_t</t>
  </si>
  <si>
    <t>dword 0 : numero di riavvii
dword 1: stato della macchina all'ultimo riavvio
dword 2: tensione di bus all'ultimo riavvio</t>
  </si>
  <si>
    <t>Cosa si intende?</t>
  </si>
  <si>
    <t>Allarmi</t>
  </si>
  <si>
    <t xml:space="preserve">due word uint16_t bitmapped </t>
  </si>
  <si>
    <r>
      <rPr>
        <sz val="11"/>
        <color rgb="FF000000"/>
        <rFont val="Calibri"/>
        <family val="2"/>
        <charset val="1"/>
      </rPr>
      <t xml:space="preserve">word 0: allarmi:
</t>
    </r>
    <r>
      <rPr>
        <sz val="8"/>
        <color rgb="FF000000"/>
        <rFont val="Calibri"/>
        <family val="2"/>
        <charset val="1"/>
      </rPr>
      <t xml:space="preserve">bit 0: fusibile aperto
bit 1: sovracorrente
bit 2: batteria scarica
bit 3: errore motore (aperto)
bit 4: errore encoder
bit 5: errore CAN
bit 6: temperatura scheda elevata
bit 7: temperatura ponte elevata
bit 8: errore freno
bit 9: errore salvataggio posizione
</t>
    </r>
    <r>
      <rPr>
        <sz val="11"/>
        <color rgb="FF000000"/>
        <rFont val="Calibri"/>
        <family val="2"/>
        <charset val="1"/>
      </rPr>
      <t xml:space="preserve">word 1: warnings:
</t>
    </r>
    <r>
      <rPr>
        <sz val="8"/>
        <color rgb="FF000000"/>
        <rFont val="Calibri"/>
        <family val="2"/>
        <charset val="1"/>
      </rPr>
      <t xml:space="preserve">bit 0: batteria non originale
bit 1: batteria bassa
bit 2: batteria a fine vita
bit 3: blocco motore
bit 4: mancanza BLE
bit 5: mancanza SM bus
bit 6: sensore tensionamento
bit 7: errore salvataggio posizione
</t>
    </r>
  </si>
  <si>
    <r>
      <rPr>
        <sz val="11"/>
        <color rgb="FF000000"/>
        <rFont val="Calibri"/>
        <family val="2"/>
        <charset val="1"/>
      </rPr>
      <t xml:space="preserve">word 0: allarmi:
</t>
    </r>
    <r>
      <rPr>
        <sz val="8"/>
        <color rgb="FF000000"/>
        <rFont val="Calibri"/>
        <family val="2"/>
        <charset val="1"/>
      </rPr>
      <t xml:space="preserve">bit 0: fusibile aperto
bit 1: sovracorrente relè
bit 2-6: sovracorrente EVx (5 bit)
bit 7: batteria scarica
</t>
    </r>
    <r>
      <rPr>
        <sz val="8"/>
        <rFont val="Calibri"/>
        <family val="2"/>
        <charset val="1"/>
      </rPr>
      <t xml:space="preserve">bit 8: errore motore (aperto)
bit 9-13: EVx aperta (5 bit)
bit 14: temperatura uC elevata
</t>
    </r>
    <r>
      <rPr>
        <sz val="8"/>
        <color rgb="FFFF0000"/>
        <rFont val="Calibri"/>
        <family val="2"/>
        <charset val="1"/>
      </rPr>
      <t xml:space="preserve">bit 15: temperatura ponte elevata
</t>
    </r>
    <r>
      <rPr>
        <sz val="8"/>
        <color rgb="FF000000"/>
        <rFont val="Calibri"/>
        <family val="2"/>
        <charset val="1"/>
      </rPr>
      <t xml:space="preserve">
</t>
    </r>
    <r>
      <rPr>
        <sz val="11"/>
        <color rgb="FF000000"/>
        <rFont val="Calibri"/>
        <family val="2"/>
        <charset val="1"/>
      </rPr>
      <t xml:space="preserve">word 1: warnings:
</t>
    </r>
    <r>
      <rPr>
        <sz val="8"/>
        <color rgb="FF000000"/>
        <rFont val="Calibri"/>
        <family val="2"/>
        <charset val="1"/>
      </rPr>
      <t xml:space="preserve">bit 0: batteria veicolo bassa
bit 1: mancanza BLE (se impostato presente)
bit 2: errore CAN
</t>
    </r>
    <r>
      <rPr>
        <sz val="11"/>
        <color rgb="FF000000"/>
        <rFont val="Calibri"/>
        <family val="2"/>
        <charset val="1"/>
      </rPr>
      <t xml:space="preserve">
</t>
    </r>
    <r>
      <rPr>
        <sz val="11"/>
        <color rgb="FFFF0000"/>
        <rFont val="Calibri"/>
        <family val="2"/>
        <charset val="1"/>
      </rPr>
      <t>SOLO 2 WORD NON VA BENE</t>
    </r>
  </si>
  <si>
    <t>Comandi</t>
  </si>
  <si>
    <t>Temperatura scheda</t>
  </si>
  <si>
    <t>Temperatura uC se c'è nel Qorvo.</t>
  </si>
  <si>
    <t>Motore o Relè a seconda che sia Optimus o Gradino.</t>
  </si>
  <si>
    <t>Diagnostica</t>
  </si>
  <si>
    <t>Cicli complessivi parziale</t>
  </si>
  <si>
    <t>Sgancio piano da tutto chiuso (o riaggancio).</t>
  </si>
  <si>
    <t>Cicli complessivi totale</t>
  </si>
  <si>
    <t>Cicli completi eseguiti parziale</t>
  </si>
  <si>
    <t>Sgancio, apro tutto, inclino, raddrizzo, chiudo.</t>
  </si>
  <si>
    <t>Cicli completi eseguiti totale</t>
  </si>
  <si>
    <t>Livello batteria</t>
  </si>
  <si>
    <t>Batteria del veicolo.</t>
  </si>
  <si>
    <t>Salute batteria</t>
  </si>
  <si>
    <t>Cicli batteria</t>
  </si>
  <si>
    <t>Temperatura batteria</t>
  </si>
  <si>
    <t>int16_t</t>
  </si>
  <si>
    <t>E' in decimi di grado, va divisa per 10</t>
  </si>
  <si>
    <t>BatteryFirmware</t>
  </si>
  <si>
    <t>uint32_t</t>
  </si>
  <si>
    <t>non attivo</t>
  </si>
  <si>
    <t>BatterySerial</t>
  </si>
  <si>
    <t>Significato</t>
  </si>
  <si>
    <t>DATI SHERPA SLIM</t>
  </si>
  <si>
    <t>Stato keyboard</t>
  </si>
  <si>
    <t>uint8_t</t>
  </si>
  <si>
    <t>DATI AZIONAMENTO</t>
  </si>
  <si>
    <t>Motor Running</t>
  </si>
  <si>
    <t>bool</t>
  </si>
  <si>
    <t>0 = motore fermo, 1 = motore in movimento</t>
  </si>
  <si>
    <t>Motor Type</t>
  </si>
  <si>
    <t>enum</t>
  </si>
  <si>
    <r>
      <rPr>
        <sz val="11"/>
        <color rgb="FF000000"/>
        <rFont val="Calibri"/>
        <family val="2"/>
        <charset val="1"/>
      </rPr>
      <t xml:space="preserve">
</t>
    </r>
    <r>
      <rPr>
        <sz val="8"/>
        <color rgb="FF000000"/>
        <rFont val="Calibri"/>
        <family val="2"/>
        <charset val="1"/>
      </rPr>
      <t xml:space="preserve">0 =  Not initialized
1 =  DC BRUSHLESS 
2 =  DC
3  =  AC INDUCTION
4 = AC BRUSHLESS </t>
    </r>
  </si>
  <si>
    <t>Magari mettere tra i motor Type anche l'ON/OFF tipo relè come questo.</t>
  </si>
  <si>
    <t>Motor Position Reference</t>
  </si>
  <si>
    <t xml:space="preserve">int16_t </t>
  </si>
  <si>
    <t>Motor Position</t>
  </si>
  <si>
    <t>Position PID enabled</t>
  </si>
  <si>
    <t>Position PID KP</t>
  </si>
  <si>
    <t>Position PID KI</t>
  </si>
  <si>
    <t xml:space="preserve">int32_t </t>
  </si>
  <si>
    <t>Motor Speed Reference</t>
  </si>
  <si>
    <t>Solo per il gradino, l'Optimus è un relè quindi ON/OFF.</t>
  </si>
  <si>
    <t>Motor Speed</t>
  </si>
  <si>
    <t>Tail Motore</t>
  </si>
  <si>
    <t>Speed PID enabled</t>
  </si>
  <si>
    <t>Speed PID KP</t>
  </si>
  <si>
    <t>Speed PID KI</t>
  </si>
  <si>
    <t>I reference</t>
  </si>
  <si>
    <t>Motor I</t>
  </si>
  <si>
    <t>enabled I PID</t>
  </si>
  <si>
    <t>Kp I PID</t>
  </si>
  <si>
    <t>Ki I PID</t>
  </si>
  <si>
    <t>int32_t</t>
  </si>
  <si>
    <t>Voltage reference applied to the motor</t>
  </si>
  <si>
    <t>Vbus measured</t>
  </si>
  <si>
    <t>Motor faults</t>
  </si>
  <si>
    <t>Quali sono i faults?</t>
  </si>
  <si>
    <t>Motor warnings</t>
  </si>
  <si>
    <t>Quali sono i warning?</t>
  </si>
  <si>
    <t>Number of pulses when breaking in position loop control</t>
  </si>
  <si>
    <t>Time for out of control thermal fault (in ms)</t>
  </si>
  <si>
    <t>Ci sta che il controllo termico valga anche per il relè anche se sarà molto improbabile.</t>
  </si>
  <si>
    <t>Working mode</t>
  </si>
  <si>
    <t>2E</t>
  </si>
  <si>
    <r>
      <rPr>
        <sz val="11"/>
        <color rgb="FF000000"/>
        <rFont val="Calibri"/>
        <family val="2"/>
        <charset val="1"/>
      </rPr>
      <t xml:space="preserve">
</t>
    </r>
    <r>
      <rPr>
        <sz val="8"/>
        <color rgb="FF000000"/>
        <rFont val="Calibri"/>
        <family val="2"/>
        <charset val="1"/>
      </rPr>
      <t xml:space="preserve">0 =  funzionameto normale
1 =  funzionameto automatico di test
2 =  funzionameto manuale di test
</t>
    </r>
  </si>
  <si>
    <t>Stato posizione/in mezzo</t>
  </si>
  <si>
    <t>2F</t>
  </si>
  <si>
    <t>0 = in mezzo, 1 = in posizione</t>
  </si>
  <si>
    <t>Stato movimento motore</t>
  </si>
  <si>
    <t xml:space="preserve">Estremo posizione </t>
  </si>
  <si>
    <t>Posizione punto 1</t>
  </si>
  <si>
    <t>Posizione punto 2</t>
  </si>
  <si>
    <t>Posizione punto 3</t>
  </si>
  <si>
    <t>Posizione punto 4</t>
  </si>
  <si>
    <t>Posizione punto 5</t>
  </si>
  <si>
    <t>Posizione punto 6</t>
  </si>
  <si>
    <t>Posizione punto 7</t>
  </si>
  <si>
    <t>Posizione punto 8</t>
  </si>
  <si>
    <t>Posizione punto 9</t>
  </si>
  <si>
    <t>3A</t>
  </si>
  <si>
    <t>Posizione punto 10</t>
  </si>
  <si>
    <t>3B</t>
  </si>
  <si>
    <t>Posizione punto 11</t>
  </si>
  <si>
    <t>3C</t>
  </si>
  <si>
    <t>Posizione punto 12</t>
  </si>
  <si>
    <t>3D</t>
  </si>
  <si>
    <t>Stato macchina a stati</t>
  </si>
  <si>
    <t>3E</t>
  </si>
  <si>
    <t>Contatore attivazione sensore</t>
  </si>
  <si>
    <t>3F</t>
  </si>
  <si>
    <t>Tipo di piano</t>
  </si>
  <si>
    <t xml:space="preserve">Posizione </t>
  </si>
  <si>
    <t>Impostazioni</t>
  </si>
  <si>
    <t>Cosa vuol dire?</t>
  </si>
  <si>
    <t>Forse è fermo o in movimento?</t>
  </si>
  <si>
    <t>Gestione fine corsa</t>
  </si>
  <si>
    <t>0 = solo PC, 1 = PC e PA</t>
  </si>
  <si>
    <t>Questa potrebbe essere l'inclinazione di carico dell'Optimus.</t>
  </si>
  <si>
    <t>byte 0 = posizione scarico, byte 1 = posizione carico</t>
  </si>
  <si>
    <t>Queste potrebbero essere le tre altezze programmate del Top Lift.</t>
  </si>
  <si>
    <r>
      <rPr>
        <sz val="11"/>
        <color rgb="FF000000"/>
        <rFont val="Calibri"/>
        <family val="2"/>
        <charset val="1"/>
      </rPr>
      <t xml:space="preserve">2 words:
</t>
    </r>
    <r>
      <rPr>
        <sz val="9"/>
        <color rgb="FF000000"/>
        <rFont val="Calibri"/>
        <family val="2"/>
        <charset val="1"/>
      </rPr>
      <t>word 0: lettura potenziometro altezza in bits
word 1: lettura potenziometro tilt in bits</t>
    </r>
  </si>
  <si>
    <t>Posizione altezza punto 1 in bits</t>
  </si>
  <si>
    <t>Posizione altezza punto 2 in bits</t>
  </si>
  <si>
    <t>Posizione altezza punto 3 in bits</t>
  </si>
  <si>
    <t>Stato automa</t>
  </si>
  <si>
    <r>
      <rPr>
        <sz val="11"/>
        <color rgb="FF000000"/>
        <rFont val="Calibri"/>
        <family val="2"/>
        <charset val="1"/>
      </rPr>
      <t xml:space="preserve">Stato corrente della macchina a stati:
</t>
    </r>
    <r>
      <rPr>
        <sz val="9"/>
        <color rgb="FF000000"/>
        <rFont val="Calibri"/>
        <family val="2"/>
        <charset val="1"/>
      </rPr>
      <t>0 = DETECT_M1
1 = PRE_INIT
2 = INIT
3 = RESET_ALTEZZA
6 = SALITA
7 = DISCESA
8 = INIT_ESTRAZIONE
9 = WAIT_ALT_INIT_ESTRAZIONE
10 = WAIT_INIT_ESTRAZIONE
11 = ESTRAZIONE
12 = TESTA_SU
13 = PIEDI_SU
14 = RESET_TILT
15 = WAIT_TILT_RESET
16 = PROGRAM
17 = STOP
18 = ERROR
19 = WARMUP
20 = STOP_MACCHINA_IN
21 = STOP_MACCHINA_EXTR
22 = WAIT_FC_INIT
23 = WAIT_FC_ESTRAZIONE
24 = REFRESH_HEIGHT</t>
    </r>
  </si>
  <si>
    <t>Stato IO</t>
  </si>
  <si>
    <r>
      <rPr>
        <sz val="11"/>
        <color rgb="FF000000"/>
        <rFont val="Calibri"/>
        <family val="2"/>
        <charset val="1"/>
      </rPr>
      <t xml:space="preserve">Bitmapped su 2 word:
Word 0 (IN):
</t>
    </r>
    <r>
      <rPr>
        <sz val="9"/>
        <color rgb="FF000000"/>
        <rFont val="Calibri"/>
        <family val="2"/>
        <charset val="1"/>
      </rPr>
      <t xml:space="preserve">Bit 0: stato fine corsa piano chiuso
Bit 1: stato fine corsa piano aperto
Bit 2: stato comando Up
Bit 3: stato comando Down
Bit 4: stato comando Mem
Bit 5: stato comando Stop
Bit 6: stato comando P1
Bit 7: stato comando P2
Bit 8: stato comando P3
Bit 9: stato selettore inclina
Bit 10: stato selettore va orizzontale
</t>
    </r>
    <r>
      <rPr>
        <sz val="11"/>
        <color rgb="FF000000"/>
        <rFont val="Calibri"/>
        <family val="2"/>
        <charset val="1"/>
      </rPr>
      <t xml:space="preserve">Word 1 (OUT):
</t>
    </r>
    <r>
      <rPr>
        <sz val="9"/>
        <color rgb="FF000000"/>
        <rFont val="Calibri"/>
        <family val="2"/>
        <charset val="1"/>
      </rPr>
      <t>Bit 0: stato elettrovalvola 1
Bit 1: stato elettrovalvola 2
Bit 2: stato elettrovalvola 3 (non presente in top lift)
Bit 3: stato elettrovalvola 7
Bit 4: stato elettrovalvola 8
Bit 5: stato relè motore</t>
    </r>
  </si>
  <si>
    <t>LL-309VPGM2E-A-3C-G52B</t>
  </si>
  <si>
    <t>EDEN</t>
  </si>
  <si>
    <t>SystemOn</t>
  </si>
  <si>
    <t>0 = piano fermo, 1 = piano in movimento</t>
  </si>
  <si>
    <t>float</t>
  </si>
  <si>
    <t>gradi</t>
  </si>
  <si>
    <t>Angolo lato testa</t>
  </si>
  <si>
    <t>Angolo di inclinazione calcolato lato testa (si usa a piano chiuso)</t>
  </si>
  <si>
    <t>DATI UTENTE VECCHIO EDEN</t>
  </si>
  <si>
    <t>Stato valvole</t>
  </si>
  <si>
    <t>8 bit mapped</t>
  </si>
  <si>
    <t>Stato fine corsa</t>
  </si>
  <si>
    <t>Altezza</t>
  </si>
  <si>
    <t>Inclinazione</t>
  </si>
  <si>
    <t>Altezza molleggio</t>
  </si>
  <si>
    <t>Altezza controllo A</t>
  </si>
  <si>
    <t>Stato tasti</t>
  </si>
  <si>
    <t>Tipo macchina</t>
  </si>
  <si>
    <t>Tempo di lavoro</t>
  </si>
  <si>
    <t>uint16_t</t>
  </si>
  <si>
    <t>Tempo dentro</t>
  </si>
  <si>
    <t>Tempo orizzontale</t>
  </si>
  <si>
    <t>Tempo tredelemburg</t>
  </si>
  <si>
    <t>Tempo antitrendelemburg</t>
  </si>
  <si>
    <t>Tempo molleggio</t>
  </si>
  <si>
    <t>Tempo motore</t>
  </si>
  <si>
    <t>Attivazioni EV1</t>
  </si>
  <si>
    <t>Attivazioni EV2</t>
  </si>
  <si>
    <t>Attivazioni EV3</t>
  </si>
  <si>
    <t>Attivazioni EV4</t>
  </si>
  <si>
    <t>Attivazioni EV5</t>
  </si>
  <si>
    <t>Attivazioni EV6</t>
  </si>
  <si>
    <t>Attivazioni EV7</t>
  </si>
  <si>
    <t>Attivazioni EV8</t>
  </si>
  <si>
    <t>Aperture carrello</t>
  </si>
  <si>
    <t>Altezza start molleggio</t>
  </si>
  <si>
    <t>Inclinazione nulla molleggio</t>
  </si>
  <si>
    <t>Inclinazione di carico</t>
  </si>
  <si>
    <t>Livello minimo batteria</t>
  </si>
  <si>
    <t>Livello massimo</t>
  </si>
  <si>
    <t>Inclinazione minima</t>
  </si>
  <si>
    <t>Inclinazione massima</t>
  </si>
  <si>
    <t>Altezza massima</t>
  </si>
  <si>
    <t>Altezza minima</t>
  </si>
  <si>
    <t>Limite massimo per martinetto</t>
  </si>
  <si>
    <t>Correttore kappa</t>
  </si>
  <si>
    <t>Tempo durata entrata in standby</t>
  </si>
  <si>
    <t>Costa sensibile attivata</t>
  </si>
  <si>
    <t>Nome Firmware</t>
  </si>
  <si>
    <t>Codice scheda</t>
  </si>
  <si>
    <t>Numero progetto</t>
  </si>
  <si>
    <t>Valore Machine_Type</t>
  </si>
  <si>
    <t>Valore Firmware_Type</t>
  </si>
  <si>
    <t>Scheda Motore Sherpa Slim</t>
  </si>
  <si>
    <t>DIS0020275</t>
  </si>
  <si>
    <t>PSL21-315</t>
  </si>
  <si>
    <t>Scheda tastiera Sherpa Slim</t>
  </si>
  <si>
    <t>DIS0014782</t>
  </si>
  <si>
    <t>Scheda madre Optimus</t>
  </si>
  <si>
    <t>DIS0020516</t>
  </si>
  <si>
    <t>PSL22-324</t>
  </si>
  <si>
    <t>DIS0021335*</t>
  </si>
  <si>
    <t>Scheda madre Eden</t>
  </si>
  <si>
    <t>DIS0020477</t>
  </si>
  <si>
    <t>PSL23-347</t>
  </si>
  <si>
    <t>Gradino</t>
  </si>
  <si>
    <t>DIS0020516**</t>
  </si>
  <si>
    <t>Macchina</t>
  </si>
  <si>
    <t>Codice Scheda</t>
  </si>
  <si>
    <t>Scheda</t>
  </si>
  <si>
    <t>MACHINE</t>
  </si>
  <si>
    <t>FIRMWARE_TYPE</t>
  </si>
  <si>
    <t>BOARD_NUMBER</t>
  </si>
  <si>
    <t>Indirizzo Stem Protocol</t>
  </si>
  <si>
    <t>DIS0020785</t>
  </si>
  <si>
    <t>Azionamento</t>
  </si>
  <si>
    <t>Tastiera</t>
  </si>
  <si>
    <t>Macchina già immessa sul mercato</t>
  </si>
  <si>
    <t>OPTIMUS (TOP-LIFT)</t>
  </si>
  <si>
    <t>Madre</t>
  </si>
  <si>
    <t>*</t>
  </si>
  <si>
    <t>Codice dell'interfaccia, la scheda integrata con la tastiera fisica avrà altri codici</t>
  </si>
  <si>
    <t>OPTIMUS/UNIVERSALE</t>
  </si>
  <si>
    <t>**</t>
  </si>
  <si>
    <t>Stessa scheda dell'Optimus ma che assumerà altro codice</t>
  </si>
  <si>
    <t>GRADINO</t>
  </si>
  <si>
    <t>Tastiera SherpaSlim</t>
  </si>
  <si>
    <t>Immagine tasti SherpaSlim per gestire i 2 blu</t>
  </si>
  <si>
    <t>Gateway B2</t>
  </si>
  <si>
    <t>Display B2</t>
  </si>
  <si>
    <t>Stato Scheda</t>
  </si>
  <si>
    <t>StartLearn</t>
  </si>
  <si>
    <t>0 = normale, 1 =vai in apprendimento</t>
  </si>
  <si>
    <t>Posizione</t>
  </si>
  <si>
    <t>impulsi</t>
  </si>
  <si>
    <t>Posizione attuale in impulsi</t>
  </si>
  <si>
    <t>Ampere/100</t>
  </si>
  <si>
    <t>Corrente del motore</t>
  </si>
  <si>
    <t>Modo FS</t>
  </si>
  <si>
    <t>0= Normale solo contatto porta 1= Modo FS</t>
  </si>
  <si>
    <t>Secondi lavoro motore parziale</t>
  </si>
  <si>
    <t>Secondi lavoro motore totale</t>
  </si>
  <si>
    <t>Cicli complessivi parziale in Apertura</t>
  </si>
  <si>
    <t>Cicli complessivi totale in Apertura</t>
  </si>
  <si>
    <t>Cicli completi eseguiti parziale in Apertura</t>
  </si>
  <si>
    <t>Cicli completi eseguiti totale in Apertura</t>
  </si>
  <si>
    <t>Cicli complessivi parziale in Chiusura</t>
  </si>
  <si>
    <t>Cicli complessivi totale in Chiusura</t>
  </si>
  <si>
    <t>Cicli completi eseguiti parziale in Chiusura</t>
  </si>
  <si>
    <t>Cicli completi eseguiti totale in Chiusura</t>
  </si>
  <si>
    <t>I max in Apertura</t>
  </si>
  <si>
    <t>I media in Apertura</t>
  </si>
  <si>
    <t>I max in prima Apertura</t>
  </si>
  <si>
    <t>I media in prima Apertura</t>
  </si>
  <si>
    <t>I max in Chiusura</t>
  </si>
  <si>
    <t>I media in Chiusura</t>
  </si>
  <si>
    <t>I max in prima Chiusura</t>
  </si>
  <si>
    <t>I media in prima Chiusura</t>
  </si>
  <si>
    <t>Salva i valori di prima apertura/chiusura</t>
  </si>
  <si>
    <t xml:space="preserve">bit 0 = 1 salva i valori alla prossima apertura,
 bit 1 =  salva i valori alla prossima chiusura, 
  bit 2 =  salva i valori alla fine del prossimo apprendimento </t>
  </si>
  <si>
    <t>1A</t>
  </si>
  <si>
    <t>PACCHIO</t>
  </si>
  <si>
    <t>Non Usato</t>
  </si>
  <si>
    <t>Motore</t>
  </si>
  <si>
    <t>Hmi B2</t>
  </si>
  <si>
    <t>0 = blocca apprendimento
1 =  permetti apprendimento</t>
  </si>
  <si>
    <t>Ubicazione in App</t>
  </si>
  <si>
    <t>Aspetto in App</t>
  </si>
  <si>
    <t>Diagnostica/Motore</t>
  </si>
  <si>
    <t>Elenco</t>
  </si>
  <si>
    <t>Effetti in App</t>
  </si>
  <si>
    <t>Nessuno</t>
  </si>
  <si>
    <t>Nome in App</t>
  </si>
  <si>
    <t>KP PID posizione</t>
  </si>
  <si>
    <t>KI PID posizione</t>
  </si>
  <si>
    <t>KP PID velocità</t>
  </si>
  <si>
    <t>KI PID velocità</t>
  </si>
  <si>
    <t>Corrente</t>
  </si>
  <si>
    <t>Velocità</t>
  </si>
  <si>
    <t>Guasti motore</t>
  </si>
  <si>
    <t>Avvisi motore</t>
  </si>
  <si>
    <t>Tile Allarmi</t>
  </si>
  <si>
    <t>Sottotitolo in Tile
Codice errore</t>
  </si>
  <si>
    <t>Cambio colore Tile
Apparizione simbolo triangolo Tile</t>
  </si>
  <si>
    <t>Allarmi
verificare nome per nome</t>
  </si>
  <si>
    <t>Intestazione
Diagnostica 1</t>
  </si>
  <si>
    <t>Riga elenco</t>
  </si>
  <si>
    <t>Firmware "scheda"</t>
  </si>
  <si>
    <t>"Modello"</t>
  </si>
  <si>
    <t>Intestazione
Diagnostica</t>
  </si>
  <si>
    <t>Versione
Firmware globale</t>
  </si>
  <si>
    <t>Sottotitolo
Riga elenco</t>
  </si>
  <si>
    <t>Titolo
Riga elenco</t>
  </si>
  <si>
    <t>"Matricola"
Numero di serie</t>
  </si>
  <si>
    <t>Numero singoli allarmi</t>
  </si>
  <si>
    <t>Ultimo allarme</t>
  </si>
  <si>
    <t>Numero singoli warning</t>
  </si>
  <si>
    <t>Ultimo warning</t>
  </si>
  <si>
    <t>ERRORI
Sovratensione
Batteria bassa
Fusibile aperto
Guasto motore
Extracorrente motore
Elettrovalvola n aperta
Bobina EV n non commutata
Errore comunicazione CAN n
Errore comunicazione BLE
Extratemperatura ponte
Extratemperatura CPU
Intervento costa sensibile
AVVISI
Urto</t>
  </si>
  <si>
    <t>Stato ingressi fisici</t>
  </si>
  <si>
    <t>Stato uscite fisiche</t>
  </si>
  <si>
    <t>BLE module</t>
  </si>
  <si>
    <t>Unlock caratteristica BLE</t>
  </si>
  <si>
    <t>Lock caratteristica BLE</t>
  </si>
  <si>
    <t>Abilita pairing mode client BLE</t>
  </si>
  <si>
    <t>Disabilita pairing mode client BLE</t>
  </si>
  <si>
    <t>Device Name[0]</t>
  </si>
  <si>
    <t>Device Name[1]</t>
  </si>
  <si>
    <t>Device Name[2]</t>
  </si>
  <si>
    <t>Device Name[3]</t>
  </si>
  <si>
    <t>Device Name[4]</t>
  </si>
  <si>
    <t>Device Name[5]</t>
  </si>
  <si>
    <t>Device Name[6]</t>
  </si>
  <si>
    <t>Device Name[7]</t>
  </si>
  <si>
    <t>Device Name[8]</t>
  </si>
  <si>
    <t>Device Name[9]</t>
  </si>
  <si>
    <t>0x24</t>
  </si>
  <si>
    <t>0x00</t>
  </si>
  <si>
    <t>0x41</t>
  </si>
  <si>
    <t>0x02</t>
  </si>
  <si>
    <t>0x06</t>
  </si>
  <si>
    <t>0x05</t>
  </si>
  <si>
    <t>0x01</t>
  </si>
  <si>
    <t>0xC1</t>
  </si>
  <si>
    <t>0x0B</t>
  </si>
  <si>
    <t>0xF7</t>
  </si>
  <si>
    <t>0x83</t>
  </si>
  <si>
    <t>0x0C</t>
  </si>
  <si>
    <t>0x35</t>
  </si>
  <si>
    <t>0xC2</t>
  </si>
  <si>
    <t>0x14</t>
  </si>
  <si>
    <t>0x3F</t>
  </si>
  <si>
    <t>0x13</t>
  </si>
  <si>
    <t>0x53</t>
  </si>
  <si>
    <t>0x68</t>
  </si>
  <si>
    <t>0x65</t>
  </si>
  <si>
    <t>0x72</t>
  </si>
  <si>
    <t>0x70</t>
  </si>
  <si>
    <t>0x61</t>
  </si>
  <si>
    <t>0xxx</t>
  </si>
  <si>
    <t>0x30</t>
  </si>
  <si>
    <t>SPARK</t>
  </si>
  <si>
    <t>HMI</t>
  </si>
  <si>
    <t>Modulo BLE</t>
  </si>
  <si>
    <t>PSL21-305</t>
  </si>
  <si>
    <t>DIS0020254</t>
  </si>
  <si>
    <t>Protezione apprendimeto</t>
  </si>
  <si>
    <t>Periodo ms H</t>
  </si>
  <si>
    <t>Periodo ms L</t>
  </si>
  <si>
    <t>Start telemetria</t>
  </si>
  <si>
    <t>Imposta telemetria Risposta</t>
  </si>
  <si>
    <t>Start telemetria Risposta</t>
  </si>
  <si>
    <t>Stop telemetria</t>
  </si>
  <si>
    <t>Stop telemetria Risposta</t>
  </si>
  <si>
    <t>Timestamp HH</t>
  </si>
  <si>
    <t>Timestamp HL</t>
  </si>
  <si>
    <t>Timestamp LH</t>
  </si>
  <si>
    <t>Timestamp LL</t>
  </si>
  <si>
    <t>Dati</t>
  </si>
  <si>
    <t>Gancio 10G</t>
  </si>
  <si>
    <t>Gancio barella</t>
  </si>
  <si>
    <t>Sensore Sherpa</t>
  </si>
  <si>
    <t>NFC</t>
  </si>
  <si>
    <t>Luci</t>
  </si>
  <si>
    <t>Dati SIM</t>
  </si>
  <si>
    <t>Stato Gateway</t>
  </si>
  <si>
    <t>custom</t>
  </si>
  <si>
    <t>Stato pulsanti</t>
  </si>
  <si>
    <t>Sensore leva</t>
  </si>
  <si>
    <t>Angolo X</t>
  </si>
  <si>
    <t>Angolo Y</t>
  </si>
  <si>
    <t>Angolo Z</t>
  </si>
  <si>
    <t>Accelerazione X</t>
  </si>
  <si>
    <t>Accelerazione Y</t>
  </si>
  <si>
    <t>Accelerazione Z</t>
  </si>
  <si>
    <t>Macchina a stati</t>
  </si>
  <si>
    <t>Numero agganci al 10G non resettabile</t>
  </si>
  <si>
    <t>Numero agganci al 10G resettabile dopo ciclo Sherpa?</t>
  </si>
  <si>
    <t>Numero agganci al 10G non resettabile dopo ciclo Sherpa?</t>
  </si>
  <si>
    <t>Coordinata X touch</t>
  </si>
  <si>
    <t>Coordinata Y touch</t>
  </si>
  <si>
    <t>Indirizzo Scheda HH</t>
  </si>
  <si>
    <t>Indirizzo Scheda HL</t>
  </si>
  <si>
    <t>Indirizzo Scheda LH</t>
  </si>
  <si>
    <t>Indirizzo Scheda LL</t>
  </si>
  <si>
    <t>Configura log</t>
  </si>
  <si>
    <t>Indirizzo Scheda Evento HL</t>
  </si>
  <si>
    <t>Indirizzo Scheda Evento LH</t>
  </si>
  <si>
    <t>Indirizzo Scheda Evento LL</t>
  </si>
  <si>
    <t>Indirizzo Logico Evento H</t>
  </si>
  <si>
    <t>Indirizzo Logico Evento L</t>
  </si>
  <si>
    <t>Indirizzo Scheda Evento HH</t>
  </si>
  <si>
    <t>Soglia Evento HH</t>
  </si>
  <si>
    <t>Soglia Evento HL</t>
  </si>
  <si>
    <t>Soglia Evento LH</t>
  </si>
  <si>
    <t>Soglia Evento LL</t>
  </si>
  <si>
    <t>Uso</t>
  </si>
  <si>
    <t>Numero agganci al 10G resettabile (il segnale arriva dal Gateway ma l'elaborazione come significato e funzione avviene qui)</t>
  </si>
  <si>
    <t>Log</t>
  </si>
  <si>
    <t>GD</t>
  </si>
  <si>
    <t>QUESTA ROBA SECONDO ME NON VA NELLE UNIVERSALI</t>
  </si>
  <si>
    <t>QUESTA ROBA INVECE VA BENE QUI</t>
  </si>
  <si>
    <t>COS'È?</t>
  </si>
  <si>
    <t>Log
GD</t>
  </si>
  <si>
    <t>DATI GRADINO</t>
  </si>
  <si>
    <t>INDIRIZZO H+L (hex)</t>
  </si>
  <si>
    <t>DATI OPTIMUS</t>
  </si>
  <si>
    <t>1B</t>
  </si>
  <si>
    <t>1C</t>
  </si>
  <si>
    <t>1D</t>
  </si>
  <si>
    <t>Start log</t>
  </si>
  <si>
    <t>Start log Risposta</t>
  </si>
  <si>
    <t>Stop log</t>
  </si>
  <si>
    <t>Stop log Risposta</t>
  </si>
  <si>
    <t>Richiesta log</t>
  </si>
  <si>
    <t>Richiesta log Risposta</t>
  </si>
  <si>
    <t>DATI LOGICI EDEN</t>
  </si>
  <si>
    <t>Log GD</t>
  </si>
  <si>
    <t>Stato pompa</t>
  </si>
  <si>
    <t>0 = fermo, 1 = in accensione, 2= acceso</t>
  </si>
  <si>
    <t>Stato EV1</t>
  </si>
  <si>
    <t>Stato EV2</t>
  </si>
  <si>
    <t>Stato EV3</t>
  </si>
  <si>
    <t>Stato EV4</t>
  </si>
  <si>
    <t>Stato EV5</t>
  </si>
  <si>
    <t>Stato EV6</t>
  </si>
  <si>
    <t>Stato EV7</t>
  </si>
  <si>
    <t>Stato EV8</t>
  </si>
  <si>
    <t>Stato EV9</t>
  </si>
  <si>
    <t>Stato EV10</t>
  </si>
  <si>
    <t>DATI LOGICI HMI SPYKE</t>
  </si>
  <si>
    <t>HMI SPYKE</t>
  </si>
  <si>
    <t>255.255</t>
  </si>
  <si>
    <t>DATI LOGICI GATEWAY SPYKE</t>
  </si>
  <si>
    <t>Stato BLE</t>
  </si>
  <si>
    <t>Stato LTE</t>
  </si>
  <si>
    <t>Rostro</t>
  </si>
  <si>
    <t>Motori Dx</t>
  </si>
  <si>
    <t>Motori Sx</t>
  </si>
  <si>
    <t>Stato connessione client BLE</t>
  </si>
  <si>
    <t>Stato connessione client BLE Risposta</t>
  </si>
  <si>
    <t>Stato
(0 = non connesso, 1 = connesso)</t>
  </si>
  <si>
    <t>RSSI connessione</t>
  </si>
  <si>
    <t>0x1D</t>
  </si>
  <si>
    <t>CRC1</t>
  </si>
  <si>
    <t>CRC2</t>
  </si>
  <si>
    <t>DIS0022393</t>
  </si>
  <si>
    <t>EV1 I Reference</t>
  </si>
  <si>
    <t>EV1 I Masured</t>
  </si>
  <si>
    <t>EV1 PWM out</t>
  </si>
  <si>
    <t>Ore lavoro EV1</t>
  </si>
  <si>
    <t>Ore lavoro EV2</t>
  </si>
  <si>
    <t>Ore lavoro EV3</t>
  </si>
  <si>
    <t>Ore lavoro EV4</t>
  </si>
  <si>
    <t>Ore lavoro EV5</t>
  </si>
  <si>
    <t>Ore lavoro EV6</t>
  </si>
  <si>
    <t>Ore lavoro EV7</t>
  </si>
  <si>
    <t>Ore lavoro EV8</t>
  </si>
  <si>
    <t>Ore lavoro EV9</t>
  </si>
  <si>
    <t>Ore lavoro EV10</t>
  </si>
  <si>
    <t>EV2 I Reference</t>
  </si>
  <si>
    <t>EV2 I Masured</t>
  </si>
  <si>
    <t>EV2 PWM out</t>
  </si>
  <si>
    <t>EV3 I Reference</t>
  </si>
  <si>
    <t>EV3 I Masured</t>
  </si>
  <si>
    <t>EV3 PWM out</t>
  </si>
  <si>
    <t>EV4 I Reference</t>
  </si>
  <si>
    <t>EV4 I Masured</t>
  </si>
  <si>
    <t>EV4 PWM out</t>
  </si>
  <si>
    <t>EV5 I Reference</t>
  </si>
  <si>
    <t>EV5 I Masured</t>
  </si>
  <si>
    <t>EV5 PWM out</t>
  </si>
  <si>
    <t>EV6 I Reference</t>
  </si>
  <si>
    <t>EV6 I Masured</t>
  </si>
  <si>
    <t>EV6 PWM out</t>
  </si>
  <si>
    <t>EV7 I Reference</t>
  </si>
  <si>
    <t>EV7 I Masured</t>
  </si>
  <si>
    <t>EV7 PWM out</t>
  </si>
  <si>
    <t>EV8 I Reference</t>
  </si>
  <si>
    <t>EV8 I Masured</t>
  </si>
  <si>
    <t>EV8 PWM out</t>
  </si>
  <si>
    <t>EV9 I Reference</t>
  </si>
  <si>
    <t>EV9 I Masured</t>
  </si>
  <si>
    <t>EV9 PWM out</t>
  </si>
  <si>
    <t>EV10 I Reference</t>
  </si>
  <si>
    <t>EV10 I Masured</t>
  </si>
  <si>
    <t>EV10 PWM out</t>
  </si>
  <si>
    <t>Ore lavoro pompa</t>
  </si>
  <si>
    <t>Angolo inclinazione del piano</t>
  </si>
  <si>
    <t xml:space="preserve">Pompa I misurata </t>
  </si>
  <si>
    <t xml:space="preserve">Pompa Riferimento </t>
  </si>
  <si>
    <t>Pompa PWM Out</t>
  </si>
  <si>
    <t>I max Pompa</t>
  </si>
  <si>
    <t>Stato Luci (3 colori RGB)</t>
  </si>
  <si>
    <t>Valore fisso:"Eden"</t>
  </si>
  <si>
    <t>Valore fisso: 5</t>
  </si>
  <si>
    <t>Stato comando esterno su</t>
  </si>
  <si>
    <t>Stato comando esterno giu'</t>
  </si>
  <si>
    <t>Variabile logica gestita dalla tastiera esterna
(non usare con l'app)</t>
  </si>
  <si>
    <t>Angolo di inclinazione del piano:
12.0 è testa su massimo,
 -12.0 e piedi su massimo,
 0.0 è orizzontale</t>
  </si>
  <si>
    <t>bit 2=R, bit 1=G, bit 0=B</t>
  </si>
  <si>
    <t>…</t>
  </si>
  <si>
    <t>Indirizzo Logico Data1 H</t>
  </si>
  <si>
    <t>Indirizzo Logico Data1 L</t>
  </si>
  <si>
    <t>Indirizzo Logico Data8 H</t>
  </si>
  <si>
    <t>Indirizzo Logico Data8 L</t>
  </si>
  <si>
    <t>Index HH</t>
  </si>
  <si>
    <t>Index HL</t>
  </si>
  <si>
    <t>Index LH</t>
  </si>
  <si>
    <t>Index LL</t>
  </si>
  <si>
    <t>Gancio 10g</t>
  </si>
  <si>
    <t>Gancio Barella</t>
  </si>
  <si>
    <t>Tipo Barella</t>
  </si>
  <si>
    <t>Stato gateway</t>
  </si>
  <si>
    <t>RSSI LTE</t>
  </si>
  <si>
    <t>RSSI BLE</t>
  </si>
  <si>
    <t>Stato connessione Sherpa</t>
  </si>
  <si>
    <r>
      <t xml:space="preserve">Gli allarmi vengono raccolti da tutte le schede periferiche e raggruppati in un unico gruppo di variabili.
</t>
    </r>
    <r>
      <rPr>
        <b/>
        <sz val="11"/>
        <color rgb="FF000000"/>
        <rFont val="Calibri"/>
        <family val="2"/>
      </rPr>
      <t xml:space="preserve">Allarmi
</t>
    </r>
    <r>
      <rPr>
        <sz val="11"/>
        <color rgb="FF000000"/>
        <rFont val="Calibri"/>
        <family val="2"/>
        <charset val="1"/>
      </rPr>
      <t xml:space="preserve">Errore CAN
Tensione troppo bassa
Errore touch
Errore sensore 10G (se vedo Vricarica senza vedere 10G)
Sovraccarico celle (quando sono a tensione batteria massima ma ho ancora corrente) è un errore o un warning?
</t>
    </r>
    <r>
      <rPr>
        <b/>
        <sz val="11"/>
        <color rgb="FF000000"/>
        <rFont val="Calibri"/>
        <family val="2"/>
      </rPr>
      <t xml:space="preserve">Avvisi
</t>
    </r>
    <r>
      <rPr>
        <sz val="11"/>
        <color rgb="FF000000"/>
        <rFont val="Calibri"/>
        <family val="2"/>
        <charset val="1"/>
      </rPr>
      <t>Tensione bassa
NFC non presente (se barellino agganciato)
NFC non riconosciuto (se barellino agganciato)</t>
    </r>
    <r>
      <rPr>
        <sz val="11"/>
        <color rgb="FF000000"/>
        <rFont val="Calibri"/>
        <family val="2"/>
      </rPr>
      <t xml:space="preserve">
Barellino non agganciato (se NFC presente)
Mancanza di Vricarica con 10G agganciato
Celle sbilanciate (quando sono in ricarica ma non ho corrente di ricarica)
Perdita di stabilità della barella (da giroscopio)
Incoerenza leva/pulsante in carico
Incoerenza leva/pulsante in scarico</t>
    </r>
  </si>
  <si>
    <r>
      <rPr>
        <b/>
        <sz val="11"/>
        <color rgb="FF000000"/>
        <rFont val="Calibri"/>
        <family val="2"/>
      </rPr>
      <t xml:space="preserve">Allarmi
</t>
    </r>
    <r>
      <rPr>
        <sz val="11"/>
        <color rgb="FF000000"/>
        <rFont val="Calibri"/>
        <family val="2"/>
        <charset val="1"/>
      </rPr>
      <t xml:space="preserve">Errore CAN
NFC non risponde
Mancanza SIM
Modulo IoT non risponde
Modulo BLE non risponde
</t>
    </r>
    <r>
      <rPr>
        <b/>
        <sz val="11"/>
        <color rgb="FF000000"/>
        <rFont val="Calibri"/>
        <family val="2"/>
      </rPr>
      <t xml:space="preserve">Avvisi
</t>
    </r>
  </si>
  <si>
    <t>Stato automa principale</t>
  </si>
  <si>
    <t>Tensione batteria mV</t>
  </si>
  <si>
    <t>L'indirizzo si calcola come val=(((uint32_t)MACHINE)&lt;&lt;16)|
(((uint32_t)(FIRMWARE_TYPE &amp; 0x03FF))&lt;&lt;6)
|(((uint32_t)(BOARD_NUMBER &amp; 0x003F)))</t>
  </si>
  <si>
    <t>TASTIERA</t>
  </si>
  <si>
    <t>DATI LOGICI TASTIERA</t>
  </si>
  <si>
    <t>Foto Tasti</t>
  </si>
  <si>
    <t>Stato sistema (non più usato)</t>
  </si>
  <si>
    <t>Comando Led Verde</t>
  </si>
  <si>
    <t>Comando Led Rosso</t>
  </si>
  <si>
    <t>Comando Buzzer</t>
  </si>
  <si>
    <t xml:space="preserve">BYTE 0: Attivazione buzzer, numero ripetizioni 
bit8: 1=Buzzer acceso fisso
bit7: 1=Buzzer lampeggiante
bit 6-0: Numero di lampeggi per ogni ciclo
BYTE 1: Tempo di on del singolo suono (in 4ms) 
BYTE 2: Tempo di off del singolo suono (in 4ms)
BYTE 3: Tempo di pausa tra i gruppi di suoni (in 4ms) </t>
  </si>
  <si>
    <t xml:space="preserve">BYTE 0: Attivazione led, numero ripetizioni 
bit8: 1=Led acceso fisso
bit7: 1=Led lampeggiante
bit 6: 1= Single shot, 0 =loop
bit 5-0: Numero di lampeggi per ogni ciclo
BYTE 1: Tempo di on del singolo lampeggio (in 4ms) 
BYTE 2: Tempo di off del singolo lampeggio (in 4ms)
BYTE 3: Tempo di pausa tra i gruppi di lampeggi (in 4ms) </t>
  </si>
  <si>
    <t>Variabile logica gestita dalla tastiera esterna</t>
  </si>
  <si>
    <t>Stato sintetico</t>
  </si>
  <si>
    <r>
      <t xml:space="preserve">
</t>
    </r>
    <r>
      <rPr>
        <sz val="8"/>
        <color rgb="FF000000"/>
        <rFont val="Calibri"/>
        <family val="2"/>
        <charset val="1"/>
      </rPr>
      <t xml:space="preserve">0 = macchina in idle
1 =  macchina in una delle posizioni
2 =  macchina tra le posizioni
3 =  macchina in riconoscimento di zero
4 =  macchia in rilascio cinghia
5 =  macchina ferma a zero
6 =  Inizio apprendimento
7 =  movimento primo punto
8 =  stop primo punto
9  =  memorizza primo punto
10 =  movimento altri punti
11 =  stop altri punti
12  =  memorizza altri punti
13 =  fine apprendimento
14 =  fermo con posizioni non valide
15  =  in errore
</t>
    </r>
  </si>
  <si>
    <t>bit7: immagine del contatto cinghia (se vale 1 è in warning)
bit 1-0: stato della barella 
( 0= SEI TRA I PUNTI,
1=SEI A ZERO,
2= SEI TUTTO FUORI ).</t>
  </si>
  <si>
    <t>0 = not connected
1 = connected</t>
  </si>
  <si>
    <t>0 = hooked 10g
1 = unhooked 10g
2 = idle out
3 = ongoing out
4 = idle mode in
5 = ongoing in
6 = extracted</t>
  </si>
  <si>
    <t>Stato macchina</t>
  </si>
  <si>
    <t>0 = init
1 = normal
2 = charging
3 = error
4 = boot
5 = death
6 = buttons mismatch
7 = hooked
8 = wait for hook</t>
  </si>
  <si>
    <t>int8_t</t>
  </si>
  <si>
    <t>Risultato
(0 = ok, != 0 non può muoversi)</t>
  </si>
  <si>
    <t>Direzione
(1 = scarico, 2 = carico, 3=entrambe)</t>
  </si>
  <si>
    <t>0 = Emergency stretcher
1 = Bio stretcher
2 = Bariatric stretcher
3 = Incubator</t>
  </si>
  <si>
    <t xml:space="preserve">Stato finecorsa </t>
  </si>
  <si>
    <t>bit 0: finecorsa piano esteso, bit 1: finecorsa piano chiuso</t>
  </si>
  <si>
    <t>libero</t>
  </si>
  <si>
    <t>0 = Nessun pulsante
1 = Pulsate UP
2 = Pulsante DOWN
3 = Entrambi</t>
  </si>
  <si>
    <t>1 = Leva tirata</t>
  </si>
  <si>
    <t>1 = Agganciato</t>
  </si>
  <si>
    <t>secondi di lavoro parziale della macchina</t>
  </si>
  <si>
    <t>secondi di lavoro totale della macchina</t>
  </si>
  <si>
    <t xml:space="preserve">Offset orizzontale in bits </t>
  </si>
  <si>
    <t>bits</t>
  </si>
  <si>
    <t>numero cicli di lavoro non completi parziale</t>
  </si>
  <si>
    <t>numero cicli di lavoro non completi totale</t>
  </si>
  <si>
    <t>numero cicli di lavoro completi parziale</t>
  </si>
  <si>
    <t>numero cicli di lavoro completi totale</t>
  </si>
  <si>
    <t>Derivato dalla tensione misurata, in percentaule</t>
  </si>
  <si>
    <t>%</t>
  </si>
  <si>
    <t>Salva orizzontale</t>
  </si>
  <si>
    <t>se va a 0 prendo lo zero del piano</t>
  </si>
  <si>
    <t>Valore RAW del potenzio altezza</t>
  </si>
  <si>
    <t>Valore RAW del potenzio inclinazione</t>
  </si>
  <si>
    <t>0 = piano spento, 1 = piano acceso</t>
  </si>
  <si>
    <t>Soglia di undervoltage</t>
  </si>
  <si>
    <t>0.0</t>
  </si>
  <si>
    <t>14.0</t>
  </si>
  <si>
    <t>volts</t>
  </si>
  <si>
    <t>Valore minimo di batteria (a cui ho 0% e scatto del fault)</t>
  </si>
  <si>
    <t>Valore massimo di batteria (a cui ho il 100%)</t>
  </si>
  <si>
    <t>Dispositivi collegati</t>
  </si>
  <si>
    <t>0x01 = Eden
0x02 = ...
0x04 = ...
0x08 = ...
0x10 = ...
0x20 = ...
0x40 = ...
0x80 = …</t>
  </si>
  <si>
    <t>Potenzio altezza max</t>
  </si>
  <si>
    <t>Potenzio altezza min</t>
  </si>
  <si>
    <t>Potenzio inclinazione max</t>
  </si>
  <si>
    <t>Potenzio inclinazione min</t>
  </si>
  <si>
    <t>Valore massimo in bits letto dal valore RAW del potenzio in apprendimento</t>
  </si>
  <si>
    <t>Valore minimo in bits letto dal valore RAW del potenzio in apprendimento</t>
  </si>
  <si>
    <t>Soglia di batteria carica 100%</t>
  </si>
  <si>
    <t>Altezza testa</t>
  </si>
  <si>
    <t>mm</t>
  </si>
  <si>
    <t>Altezza testa in mm</t>
  </si>
  <si>
    <t>Vai ad altezza di carico all'estrazione</t>
  </si>
  <si>
    <t>0 = disattivo, 1 = attivo</t>
  </si>
  <si>
    <t>Vai sempre in molleggio</t>
  </si>
  <si>
    <t>0 = rigido, 1 = molleggio</t>
  </si>
  <si>
    <t>Autospegnimento in rigido</t>
  </si>
  <si>
    <t>Timer autospegni in rigido</t>
  </si>
  <si>
    <t>Autospegnimento in molleggio</t>
  </si>
  <si>
    <t>Timer autospegni in molleggio</t>
  </si>
  <si>
    <t>min</t>
  </si>
  <si>
    <t>Vai in molleggio alla richiusura</t>
  </si>
  <si>
    <t xml:space="preserve">0 = sempre acceso,  1= autospegnimento </t>
  </si>
  <si>
    <t>0 = sempre acceso , 1= autospegnimento</t>
  </si>
  <si>
    <t>Step Type</t>
  </si>
  <si>
    <t>0 = nessuno
1 =  Spyke</t>
  </si>
  <si>
    <t>Tipo di barella</t>
  </si>
  <si>
    <t>Max current (abs)</t>
  </si>
  <si>
    <t>300 (?)</t>
  </si>
  <si>
    <t>Max current primo zero (abs)</t>
  </si>
  <si>
    <t>200 (?)</t>
  </si>
  <si>
    <t>Max currentzero (abs)</t>
  </si>
  <si>
    <t>150 (?)</t>
  </si>
  <si>
    <t>600 (?)</t>
  </si>
  <si>
    <t>400 (?)</t>
  </si>
  <si>
    <t>word 0: allarmi:
bit 0: fusibile aperto -&gt; DA VERIFICARE!
bit 1: sovracorrente relè -&gt; DA VERIFICARE!
bit 2-6: sovracorrente EVx (5 bit) -&gt; DA VERIFICARE!
bit 7: batteria scarica -&gt; DA VERIFICARE!
bit 8: errore motore (aperto) -&gt; DA VERIFICARE!
bit 9-13: EVx aperta (5 bit) -&gt; DA VERIFICARE!
bit 14: temperatura uC elevata -&gt; DA VERIFICARE!
bit 15: temperatura ponte elevata -&gt; DA VERIFICARE!
word 1: warnings:
bit 0: gradino non completamente aperto
bit 1: gradino non completamente chiuso
bit 2: batteria veicolo bassa -&gt; DA VERIFICARE!
bit 3: mancanza BLE (se impostato presente) -&gt; DA VERIFICARE!
bit 4: errore CAN -&gt; DA VERIFICARE!
SOLO 2 WORD NON VA BENE</t>
  </si>
  <si>
    <t>Connessione BLE</t>
  </si>
  <si>
    <t>1E</t>
  </si>
  <si>
    <t>Collaudo</t>
  </si>
  <si>
    <t>0 = funzionamento normale, 1 = collaudo</t>
  </si>
  <si>
    <t>Presenza can2 per collaudo</t>
  </si>
  <si>
    <t>0 = non connesso, 1 = can2 presente</t>
  </si>
  <si>
    <t>Colore in Standby</t>
  </si>
  <si>
    <t>Colore RGB a 24 bit: 0x0RGB</t>
  </si>
  <si>
    <t>Colore in Movimento</t>
  </si>
  <si>
    <t>Collaudo scheda eseguito</t>
  </si>
  <si>
    <t>Collaudo FC Closed</t>
  </si>
  <si>
    <t>Collaudo FC Extended</t>
  </si>
  <si>
    <t>Collaudo Potenzio altezza valore minimo</t>
  </si>
  <si>
    <t>Collaudo Potenzio altezza valore massimo</t>
  </si>
  <si>
    <t>Collaudo Potenzio inclinazione valore minimo</t>
  </si>
  <si>
    <t>Collaudo Potenzio inclinazione valore massimo</t>
  </si>
  <si>
    <t>Collaudo Leva su</t>
  </si>
  <si>
    <t>Collaudo Leva giù</t>
  </si>
  <si>
    <t>Collaudo CAN 1</t>
  </si>
  <si>
    <t>Collaudo CAN 2</t>
  </si>
  <si>
    <t>Collaudo costa</t>
  </si>
  <si>
    <t>2 = passato altrimenti  non passato</t>
  </si>
  <si>
    <t>0 = non passato, 1 = passato</t>
  </si>
  <si>
    <t>Collaudo pompa e valvole</t>
  </si>
  <si>
    <t/>
  </si>
  <si>
    <t>Toplift-A</t>
  </si>
  <si>
    <t>Spark HMI</t>
  </si>
  <si>
    <t>Spark Motore</t>
  </si>
  <si>
    <t>Spark Rostro</t>
  </si>
  <si>
    <t>DIS0020790</t>
  </si>
  <si>
    <t>Gateway</t>
  </si>
  <si>
    <t>Display</t>
  </si>
  <si>
    <t>SPYKE</t>
  </si>
  <si>
    <t>DIS0022401</t>
  </si>
  <si>
    <t>WORD 1: allarmi:
 bit 0: sovracorrente pompa
 bit 1: circuito aperto pompa
 bit 2: sovracorrente EV 1
 bit 3: circuito aperto EV 1
 bit 4: sovracorrente EV 2
 bit 5: circuito aperto EV 2
 bit 6: sovracorrente EV 3
 bit 7: circuito aperto EV 3
 bit 8: sovracorrente EV 4
 bit 9: circuito aperto EV 4
 bit 10: sovracorrente EV 5
 bit 11: circuito aperto EV 5
 bit 12: sovracorrente EV 6
 bit 13: circuito aperto EV 6
 bit 14: sovracorrente EV 7
 bit 15: circuito aperto EV 7
WORD 2: allarmi:
 bit 0: sovracorrente EV 8
 bit 1: circuito aperto EV 8
bit2: low battery
bit3: costa sensibile
bit4: Errore interno routine software
bit5: errore hardware EEPROM esterna
WORD 3: allarmi:
WORD 4: allarmi:
WORD 5: warnings:
WORD 6:
WORD 7:
WORD 8:</t>
  </si>
  <si>
    <r>
      <t xml:space="preserve">Tipo log HH:
</t>
    </r>
    <r>
      <rPr>
        <sz val="8"/>
        <color rgb="FF000000"/>
        <rFont val="Calibri"/>
        <family val="2"/>
      </rPr>
      <t>il tipo è un codice univoco deciso dall'amministratore tramite portale all'atto del configurare il log e viene usato per la decodifica dei dati binari dei record</t>
    </r>
  </si>
  <si>
    <t>Tipo log HL</t>
  </si>
  <si>
    <t>Tipo log LH</t>
  </si>
  <si>
    <t>Tipo log LL</t>
  </si>
  <si>
    <r>
      <t xml:space="preserve">Istanza log:
</t>
    </r>
    <r>
      <rPr>
        <sz val="8"/>
        <color rgb="FF000000"/>
        <rFont val="Calibri"/>
        <family val="2"/>
      </rPr>
      <t>una macchina può gestire più istanze di datalogger</t>
    </r>
  </si>
  <si>
    <t>Tipo trigger</t>
  </si>
  <si>
    <t>Direzione trigger</t>
  </si>
  <si>
    <t>Istanza log</t>
  </si>
  <si>
    <r>
      <t xml:space="preserve">Index HH:
</t>
    </r>
    <r>
      <rPr>
        <sz val="8"/>
        <color rgb="FF000000"/>
        <rFont val="Calibri"/>
        <family val="2"/>
      </rPr>
      <t>l'indice è un codice univoco incrementale nella macchina che viene assegnato ai vari record</t>
    </r>
  </si>
  <si>
    <t>Tipo log HH</t>
  </si>
  <si>
    <t>Modulo</t>
  </si>
  <si>
    <t>Richiesta configurazione attuale log</t>
  </si>
  <si>
    <t>Richiesta configurazione attuale log risposta</t>
  </si>
  <si>
    <t>Richiesta info fat log</t>
  </si>
  <si>
    <t>Richiesta info fat log risposta (log usati, indice primo,etc)</t>
  </si>
  <si>
    <t>Inizia sessione dati per gateway</t>
  </si>
  <si>
    <t>1F</t>
  </si>
  <si>
    <t>Usati HH</t>
  </si>
  <si>
    <t>Usati HL</t>
  </si>
  <si>
    <t>Usati LH</t>
  </si>
  <si>
    <t>Usati LL</t>
  </si>
  <si>
    <t>Primo HH</t>
  </si>
  <si>
    <t>Primo HL</t>
  </si>
  <si>
    <t>Primo LH</t>
  </si>
  <si>
    <t>Primo LL</t>
  </si>
  <si>
    <t>Termina sessione dati per gateway</t>
  </si>
  <si>
    <t>Tastiera1</t>
  </si>
  <si>
    <t>Tastiera2</t>
  </si>
  <si>
    <t>Tastiera3</t>
  </si>
  <si>
    <t>TastieraOld</t>
  </si>
  <si>
    <t>Ultimo HH</t>
  </si>
  <si>
    <t>Ultimo HL</t>
  </si>
  <si>
    <t>Ultimo LH</t>
  </si>
  <si>
    <t>Ultimo LL</t>
  </si>
  <si>
    <r>
      <t xml:space="preserve">Tipo telemetria HH:
</t>
    </r>
    <r>
      <rPr>
        <sz val="8"/>
        <color rgb="FF000000"/>
        <rFont val="Calibri"/>
        <family val="2"/>
      </rPr>
      <t>il tipo è un codice univoco deciso dall'amministratore tramite portale all'atto del configurare la telemetria e viene usato per la decodifica dei dati binari</t>
    </r>
  </si>
  <si>
    <t>Tipo telemetria HL</t>
  </si>
  <si>
    <t>Tipo telemetria LH</t>
  </si>
  <si>
    <t>Tipo telemetria LL</t>
  </si>
  <si>
    <t>bit 0: PIN IN sensore di tensionamento
bit 1: stato tasto "Keyboard" scarico/giù
bit 2: stato tasto "Keyboard" carico/su
bit 3:
bit 4:
bit 5: stato tasto "Remote Control" scarico/giù
bit 6: stato tasto "Remote Control" carico/su
bit 7: stato feedback "freno motore" (ANALOG IN)</t>
  </si>
  <si>
    <t>bit 0: PIN OUT freno motore
bit 1: stato motore in movimento se 1, motore fermo se 0
bit 2: stato direzione motore carico/su se 1, direzione motore scarico/giù se 0
bit 3: PIN OUT LED rosso "allarme"
bit 4: PIN OUT LED verde "motore in movimento"
bit 5: PIN OUT LED tasto ON/OFF "macchina programmata"
bit 6: stato buzzer acceso se 1, spento se 0</t>
  </si>
  <si>
    <t>Attivazione Fault Costa</t>
  </si>
  <si>
    <t>0 = costa non attiva, 1 = costa attiva</t>
  </si>
  <si>
    <t>TOP -LIFT A2</t>
  </si>
  <si>
    <t>INDIRIZZI SCHEDE A CUI SI APPLICA QUESTO DIZIONARIO</t>
  </si>
  <si>
    <t>Stato keyboard1</t>
  </si>
  <si>
    <t>Stato keyboard2</t>
  </si>
  <si>
    <t>Stato keyboard3</t>
  </si>
  <si>
    <t>TOP-LIFT-A2</t>
  </si>
  <si>
    <t>0x00080381</t>
  </si>
  <si>
    <t>Non usato</t>
  </si>
  <si>
    <t>0x00030141</t>
  </si>
  <si>
    <t>0x00030101</t>
  </si>
  <si>
    <t>0x000803C1</t>
  </si>
  <si>
    <t>0x000803C2</t>
  </si>
  <si>
    <t>0x000803C3</t>
  </si>
  <si>
    <t>Ozonizzatore</t>
  </si>
  <si>
    <t>PSL24-372</t>
  </si>
  <si>
    <t>DIS0016566</t>
  </si>
  <si>
    <t>Stato EVA</t>
  </si>
  <si>
    <t>Stato EVB</t>
  </si>
  <si>
    <t>Stato EVC</t>
  </si>
  <si>
    <t>Stato P2A</t>
  </si>
  <si>
    <t>FC alt. giu'</t>
  </si>
  <si>
    <t>FC alt. su</t>
  </si>
  <si>
    <t>FC inclin. orizz.</t>
  </si>
  <si>
    <t>FC inclin. giu'</t>
  </si>
  <si>
    <t>bit 0: EV1
bit 1: EV2
bit 2: EV3
bit 3: EV4
 bit 4: EV5
bit 5: EV6
bit 6: EV7
bit 7: EV8
bit 8: PUMP
bit 9: LEDB
bit 10: LEDG
bit 11: LEDR</t>
  </si>
  <si>
    <t>0x00090401</t>
  </si>
  <si>
    <t>O3ZTECH</t>
  </si>
  <si>
    <t>Valore fisso:"O3Ztech"</t>
  </si>
  <si>
    <t>WORD 1: allarmi:
 bit 1: errore genrico
 bit 2: fan broken
 bit 3: no comm ozone sensor
 bit 4: locked button
 bit 5: low ozone
 bit 6: high ozone
 bit 7: ozone cell temp low
 bit 8: temperature high
 bit 9: ozone cell temp high
 bit 10: humidity high
 bit 11: power supply high
 bit 12: power supply low
 bit 13: can egicon
 bit 14: can ozone
 bit 15: man inside</t>
  </si>
  <si>
    <t>DATI LOGICI O3ZTECH</t>
  </si>
  <si>
    <t>On</t>
  </si>
  <si>
    <t>Comando on</t>
  </si>
  <si>
    <t>Run</t>
  </si>
  <si>
    <t>Comando run</t>
  </si>
  <si>
    <t>O3 Reference</t>
  </si>
  <si>
    <t>Riferimento di ozono</t>
  </si>
  <si>
    <t>O3 Level</t>
  </si>
  <si>
    <t>Isteresis Positive</t>
  </si>
  <si>
    <t>Isteresis Negative</t>
  </si>
  <si>
    <t>Manual</t>
  </si>
  <si>
    <t>Ore</t>
  </si>
  <si>
    <t>Minuti</t>
  </si>
  <si>
    <t>Secondi</t>
  </si>
  <si>
    <t>Giorno</t>
  </si>
  <si>
    <t>Mese</t>
  </si>
  <si>
    <t>Anno</t>
  </si>
  <si>
    <t>Timer trattamento</t>
  </si>
  <si>
    <t>Tempo trattamento manuale</t>
  </si>
  <si>
    <t>Soglia trattamento manuale</t>
  </si>
  <si>
    <t>Indice Log più vecchio</t>
  </si>
  <si>
    <t>Numero Logs totale</t>
  </si>
  <si>
    <t>Indice ultimo log letto</t>
  </si>
  <si>
    <t>Indice Log corrente</t>
  </si>
  <si>
    <t>Nome utente</t>
  </si>
  <si>
    <t>String[]20]</t>
  </si>
  <si>
    <t>Nome macchina</t>
  </si>
  <si>
    <t>String[]12]</t>
  </si>
  <si>
    <t>Versione firmware Egicon</t>
  </si>
  <si>
    <t>Valore di fine trattamento</t>
  </si>
  <si>
    <t>Tempo di warmup</t>
  </si>
  <si>
    <t>Pir1</t>
  </si>
  <si>
    <t>Pir2</t>
  </si>
  <si>
    <t>Set Boot Bridge</t>
  </si>
  <si>
    <t>W</t>
  </si>
  <si>
    <t>O3Z-TECH</t>
  </si>
  <si>
    <t>Limitazione velocita</t>
  </si>
  <si>
    <t>Valore di limite di velocita' di discesa del piano</t>
  </si>
  <si>
    <t>Potenzio inclinazione orizz.</t>
  </si>
  <si>
    <t>Potenzio inclinazione giu'</t>
  </si>
  <si>
    <t>Altezza miima molleggio (angolo)</t>
  </si>
  <si>
    <t>Altezza massima molleggio (angolo)</t>
  </si>
  <si>
    <t>Altezza minima a cui l'Eden scarica quando sta per entrare in molleggio</t>
  </si>
  <si>
    <t>Altezza cui si posiziona l'Eden in molleggio (se è inclinato è l'equivalente orizzontale)</t>
  </si>
  <si>
    <t>bit 0: FC Estratto
bit 1: FC Chiuso
bit 2: Comando UP
bit 3: Comando Down
bit 4: Costa sensibile
bit 5: Comando tastiera testa su
bit 6: Comando tastiera piedi su
bit 7: Comando tastiera vai orizzontale
bit 8: Comando tastiera molleggio
bit 9: Comando tastiera tutto su
bit 10: Comando tastiera tutto giu'
bit 11: Comando tastiera stop</t>
  </si>
  <si>
    <t>Stato keyboard 1</t>
  </si>
  <si>
    <t>Stato keyboard 2</t>
  </si>
  <si>
    <t>Stato keyboard 3</t>
  </si>
  <si>
    <t>Gli Eden di Pina e Medesano hanno machine = 2.</t>
  </si>
  <si>
    <t>0x00030102</t>
  </si>
  <si>
    <t>0x00030103</t>
  </si>
  <si>
    <t>TOP -LIFT-M</t>
  </si>
  <si>
    <t>0x000200C1</t>
  </si>
  <si>
    <t>Angolo lato piedi</t>
  </si>
  <si>
    <t>Angolo di inclinazione calcolato lato piedi</t>
  </si>
  <si>
    <t>Max angolo testa</t>
  </si>
  <si>
    <t>Min angolo testa</t>
  </si>
  <si>
    <t>Max angolo inclinazione</t>
  </si>
  <si>
    <t>Min angolo inclinazione</t>
  </si>
  <si>
    <t>Tolleranza fine corsa alto angolo piedi</t>
  </si>
  <si>
    <t>Tolleranza sullo scatto fine corsa in meno rispetto al massimo angolo lato piedi</t>
  </si>
  <si>
    <t>0x00020101</t>
  </si>
  <si>
    <t>ID0_ HH</t>
  </si>
  <si>
    <t>ID0_ H</t>
  </si>
  <si>
    <t>ID0_ L</t>
  </si>
  <si>
    <t>ID0_ LL</t>
  </si>
  <si>
    <t>ID1_ HH</t>
  </si>
  <si>
    <t>ID1_ H</t>
  </si>
  <si>
    <t>ID1_ L</t>
  </si>
  <si>
    <t>ID1_ LL</t>
  </si>
  <si>
    <t>ID2_ HH</t>
  </si>
  <si>
    <t>ID2_ H</t>
  </si>
  <si>
    <t>ID2_ L</t>
  </si>
  <si>
    <t>ID2_ LL</t>
  </si>
  <si>
    <t>SP_Address_ HH</t>
  </si>
  <si>
    <t>SP_Address_ H</t>
  </si>
  <si>
    <t>SP_Address_ LL</t>
  </si>
  <si>
    <t>SP_Address_ L</t>
  </si>
  <si>
    <t>IdMachineType</t>
  </si>
  <si>
    <t>IdFWType_H</t>
  </si>
  <si>
    <t>IdFWType_L</t>
  </si>
  <si>
    <t>GATEWAY SPYKE</t>
  </si>
  <si>
    <t>0x00010041</t>
  </si>
  <si>
    <t>0x00050201</t>
  </si>
  <si>
    <t>0x000501C1</t>
  </si>
  <si>
    <t>0x00040181</t>
  </si>
  <si>
    <t>HMI SPARK</t>
  </si>
  <si>
    <t>0x000702C1</t>
  </si>
  <si>
    <t>OPTIMUS-XP</t>
  </si>
  <si>
    <t>Firmware Bootloader</t>
  </si>
  <si>
    <t>0x000A0441</t>
  </si>
  <si>
    <t>OPTIMUS XP</t>
  </si>
  <si>
    <t>WORD 1: allarmi:
 bit 0: sovracorrente pompa
 bit 1: circuito aperto pompa
 bit 2: sovracorrente EV 1
 bit 3: circuito aperto EV 1
 bit 4: sovracorrente EV 2
 bit 5: circuito aperto EV 2
WORD 2: allarmi:
bit2: low battery
bit4: Errore interno routine software
bit5: errore hardware EEPROM esterna
WORD 3: allarmi:
WORD 4: allarmi:
WORD 5: warnings:
WORD 6:
WORD 7:
WORD 8:</t>
  </si>
  <si>
    <t>DATI LOGICI OPTIMUS XP</t>
  </si>
  <si>
    <t>Stato ingresso barella</t>
  </si>
  <si>
    <t>Learn Time OK</t>
  </si>
  <si>
    <t>ms</t>
  </si>
  <si>
    <t>Tempo in cui devo rimanere fermo per passare da una fase di apprendimento a un'altra</t>
  </si>
  <si>
    <t>Learn Time Hide Check</t>
  </si>
  <si>
    <t>Tempo in cui mi muovo comunque tra una fase di apprendimento
 e l'altra per funzionare anche con i martinetti più lenti</t>
  </si>
  <si>
    <t>Pompa soglia di corrente per aperto</t>
  </si>
  <si>
    <t>Pompa tempo per aperto</t>
  </si>
  <si>
    <t>Soglia di corrente sotto la quale riconosco pompa aperta</t>
  </si>
  <si>
    <t xml:space="preserve">Tempo con corrente pompa sotto soglia per far scattare il fault </t>
  </si>
  <si>
    <t>Stato ricarica</t>
  </si>
  <si>
    <t>1 = in ricarica</t>
  </si>
  <si>
    <t>Tempo unix</t>
  </si>
  <si>
    <t>Firmware HMI</t>
  </si>
  <si>
    <t>0=100%
1=80%
2=60%
3=40%
4=20%
5=warning
6=alarm</t>
  </si>
  <si>
    <t>Abilitazione programmazione Sherpa</t>
  </si>
  <si>
    <t>Livello batteria soglie</t>
  </si>
  <si>
    <t>temperatura interna al micro in gradi</t>
  </si>
  <si>
    <t>Gateway loading file</t>
  </si>
  <si>
    <t>Gateway loading file size</t>
  </si>
  <si>
    <t>Gateway loading file transfered</t>
  </si>
  <si>
    <t>Gateway firmware version</t>
  </si>
  <si>
    <t>Tempo di ritardo all'accensione</t>
  </si>
  <si>
    <t>Tempo in ms di ritardo all'accensione</t>
  </si>
  <si>
    <t>Posizione tastiera</t>
  </si>
  <si>
    <t>0 = destra (default)
1 =  sinistra</t>
  </si>
  <si>
    <t>Altezza di carico</t>
  </si>
  <si>
    <t>Altezza 1 da chiuso</t>
  </si>
  <si>
    <t>Altezza 2 da chiuso</t>
  </si>
  <si>
    <t>Altezza 3 da chiuso</t>
  </si>
  <si>
    <r>
      <t xml:space="preserve">Indirizzo Destinazione HH
</t>
    </r>
    <r>
      <rPr>
        <sz val="8"/>
        <color rgb="FF000000"/>
        <rFont val="Calibri"/>
        <family val="2"/>
      </rPr>
      <t>Inddirizzo del protocollo Stema cui inviare i messaggi di telemetria</t>
    </r>
  </si>
  <si>
    <t>Indirizzo Destinazione HL</t>
  </si>
  <si>
    <t>Indirizzo Destinazione LH</t>
  </si>
  <si>
    <t>Indirizzo Destinazione LL</t>
  </si>
  <si>
    <t>Ind. Aut. chi siete</t>
  </si>
  <si>
    <t>Ind. Aut. chi sono</t>
  </si>
  <si>
    <t>Ind. Aut. battezzati</t>
  </si>
  <si>
    <t>Ind. Aut. risultato battezzamento</t>
  </si>
  <si>
    <t>Ind. Aut. Start</t>
  </si>
  <si>
    <t>Altezza di molleggio</t>
  </si>
  <si>
    <t>Beep tasti</t>
  </si>
  <si>
    <t>0 = off, 1 =on</t>
  </si>
  <si>
    <t>0x000A0101</t>
  </si>
  <si>
    <t>0x000A0102</t>
  </si>
  <si>
    <t>0x000A0103</t>
  </si>
  <si>
    <t>Lingua in uso</t>
  </si>
  <si>
    <t>0 = inglese
1 = italiano
2 = francese
3 = tedesco
4 = spagnolo
5 = rumeno</t>
  </si>
  <si>
    <t>Livello di luce barra a led</t>
  </si>
  <si>
    <t>Livello di luce della barra a led</t>
  </si>
  <si>
    <t>Bit</t>
  </si>
  <si>
    <t>Debug</t>
  </si>
  <si>
    <t>An_Pot1</t>
  </si>
  <si>
    <t>An_Pot2</t>
  </si>
  <si>
    <t>Up/Down da telecomando</t>
  </si>
  <si>
    <t>R3L-XP</t>
  </si>
  <si>
    <t>Optimus XP</t>
  </si>
  <si>
    <t>Scheda tastiera per macchine a 12v</t>
  </si>
  <si>
    <t>Scheda tastiera per macchine a 24v</t>
  </si>
  <si>
    <t>EDEN BS8</t>
  </si>
  <si>
    <t>string</t>
  </si>
  <si>
    <t>Dati Apprendimento punto 1</t>
  </si>
  <si>
    <t>Dati Apprendimento punto 2</t>
  </si>
  <si>
    <t>Dati Apprendimento punto 3</t>
  </si>
  <si>
    <t>Dati Apprendimento punto 4</t>
  </si>
  <si>
    <t>Dati Apprendimento punto 5</t>
  </si>
  <si>
    <t>Dati Apprendimento punto 6</t>
  </si>
  <si>
    <t>Dati Apprendimento punto 7</t>
  </si>
  <si>
    <t>Dati Apprendimento punto 8</t>
  </si>
  <si>
    <t>Dati Apprendimento punto 9</t>
  </si>
  <si>
    <t>Dati Apprendimento punto 10</t>
  </si>
  <si>
    <t>Dati Apprendimento punto 11</t>
  </si>
  <si>
    <t>Dati Apprendimento punto 12</t>
  </si>
  <si>
    <t>4A</t>
  </si>
  <si>
    <t>4B</t>
  </si>
  <si>
    <t>4C</t>
  </si>
  <si>
    <t>4D</t>
  </si>
  <si>
    <t>4E</t>
  </si>
  <si>
    <t>4F</t>
  </si>
  <si>
    <t>Dati correnti funzionamento</t>
  </si>
  <si>
    <t>0x000C04C1</t>
  </si>
  <si>
    <t>Valore fisso:"Eden BS8"</t>
  </si>
  <si>
    <t>DATI LOGICI EDEN BS8</t>
  </si>
  <si>
    <t>0 = Nessuno
1 = Eden04-X
2 = R-3L
3 = Compact-El
4 = Eden-XP
5 = R-3L XP
6 = Custom su CAN</t>
  </si>
  <si>
    <t>0x000B0481</t>
  </si>
  <si>
    <t>WORD 1: allarmi:
 bit 0: sovracorrente motore testa
 bit 1: circuito aperto motore testa
 bit 2: sovracorrente motore piedi
 bit 3: circuito aperto motore piedi
bit4: low battery
bit5: costa sensibile
bit6: Errore interno routine software
bit7: errore hardware EEPROM esterna
WORD 2: allarmi:
WORD 3: allarmi:
WORD 4: allarmi:
WORD 5: warnings:
WORD 6:
WORD 7:
WORD 8:</t>
  </si>
  <si>
    <t>R3-L XP</t>
  </si>
  <si>
    <t>Valore fisso:"R3-L XP"</t>
  </si>
  <si>
    <t>bit 0: EVA
bit 1: EVB
bit 2: PUMP
bit 9: LEDB
bit 10: LEDG
bit 11: LEDR</t>
  </si>
  <si>
    <t>bit 0: Ingresso barella
bit 4: Costa sensibile
bit 5: Comando tastiera led
bit 8: Comando tastiera molleggio
bit 9: Comando tastiera tutto su
bit 11: Comando tastiera stop</t>
  </si>
  <si>
    <t>automata_point_t autPointTable[0];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</si>
  <si>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Dati Apprendimento punto 13</t>
  </si>
  <si>
    <t>automata_point_t autPointTable[12];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</si>
  <si>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autPointTable[11];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</si>
  <si>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autPointTable[10];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</si>
  <si>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autPointTable[9];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</si>
  <si>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autPointTable[8];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</si>
  <si>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autPointTable[7];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</si>
  <si>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autPointTable[6];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</si>
  <si>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autPointTable[5];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</si>
  <si>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autPointTable[4];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</si>
  <si>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autPointTable[3];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</si>
  <si>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autPointTable[2];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</si>
  <si>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</si>
  <si>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automata_handler_t hState; // Size: 56 Byte
// dove
typedef struct automata_handler_s
{
	automata_state_code_t 	state; // Size: 1 Byte
	automata_dir_t 			dir; // Size: 1 Byte
	automata_cmd_t 			cmd; // Size: 1 Byte
	automata_pos_t 			point; // Size: 1 Byte
	// automata_pos_t 		next;
	int32_t				pos; // Size: 4 Byte
	automata_point_t* 		goal; // Size: 4 Byte
	automata_point_t* 		carStep; // Size: 4 Byte
	automata_point_t* 		scarStep; // Size: 4 Byte
	queueId 			cmdQueue; // Size: 4 Byte
	queueId 			motQueue; // Size: 4 Byte
	uint32_t 			lastTickCmd; // Size: 4 Byte
	bool 				IsPos; // Size: 1 Byte
	// automata_dir_t 		mov;
	automata_pos_t 			ext1; // Size: 1 Byte
	automata_pos_t 			ext2; // Size: 2 Byte
	timeoutHandler_t		timerGen; // Size: 8 Byte
	uint32_t			lastTick; // Size: 4 Byte
	bool 				waitOp; // Size: 1 Byte
	between_points_state_code_t 	BetweenState; // Size: 1 Byte
	bool 				BetweenPointsIgnoreStop; // Size: 1 Byte
	bool 				StretcherPresent; // Size: 1 Byte
	int32_t 			RemoteZeroPos; // Size: 4 Byte
} automata_handler_t;</t>
  </si>
  <si>
    <t>Position I Reference</t>
  </si>
  <si>
    <t>Position I Measure</t>
  </si>
  <si>
    <t>Current I Reference</t>
  </si>
  <si>
    <t>Current I Measure</t>
  </si>
  <si>
    <t>Madre Master</t>
  </si>
  <si>
    <t>Madre Slave</t>
  </si>
  <si>
    <t>Tipo di barella gestita: 
0 = Stryker Powerload
1 = Spark
2 = Mediroll
3 = Ferno Viper
4 = Kartsana Superbravo</t>
  </si>
  <si>
    <t>0x000B0482</t>
  </si>
  <si>
    <t>0x000B0101</t>
  </si>
  <si>
    <t>0x000B0102</t>
  </si>
  <si>
    <t>0x000B0103</t>
  </si>
  <si>
    <t>Angolo di inclinazione del piano:
10.0 è testa su massimo,
 -8.0 e piedi su massimo,
 0.0 è orizzontale</t>
  </si>
  <si>
    <t>Angolo delta orizzontale</t>
  </si>
  <si>
    <t>Collaudo ingresso barella</t>
  </si>
  <si>
    <t>Status Requested</t>
  </si>
  <si>
    <t>Stato macchina Richiesto. Se il bit alto vale 1 è stato caricato.</t>
  </si>
  <si>
    <t>Status</t>
  </si>
  <si>
    <t>Stato macchina attuale</t>
  </si>
  <si>
    <t>0 = GE2
1 = GE3
2 = GE4
3 = DRAWER
4 = SHED
5 = BENCH</t>
  </si>
  <si>
    <t xml:space="preserve">0 =  Not initialized
1 =  DC BRUSHLESS 
2 =  DC
3  =  AC INDUCTION
4 = AC BRUSHLESS </t>
  </si>
  <si>
    <t>00 = UNDEFINED
01 = OPENING_CALIBRATION
02 = CLOSING_CALIBRATION
03 = RESETTING
04 = END_CLOSING
05 = IN_CLOSING
06 = END_OPENING
07 = IN_OPENING
08 = STOPPED
09 = IN_FAULT
10 = SLOWDOWN_CLOSING
11 = SLOWDOWN_OPENING</t>
  </si>
  <si>
    <t>Bit 0 = LED1</t>
  </si>
  <si>
    <t>Bit 0 = DOOR
Bit 1 = FS OPEN
Bit 2 = FS CLOSE
Bit 3 = FC STEP</t>
  </si>
  <si>
    <t>Velocità LOW (% di NORMAL)</t>
  </si>
  <si>
    <t>I Motore</t>
  </si>
  <si>
    <t>Istanza Telemetria: è il numero del task in cui faccio girare questa configurazione di telemetria</t>
  </si>
  <si>
    <t>Indirizzo Logico Data8 H (Il numero di variabili è dinamico e al massimo vale SP_TEL_N_VARS che viene configurato nel firmware)</t>
  </si>
  <si>
    <t>Istanza telemetria (è il numero del task o della tabella eeprom da attivare in lettura)</t>
  </si>
  <si>
    <t>Indirizzo Scheda HH 
(normalmente è l'indirizzo della scheda da cui prelevi, 
ma potrebbe essere anche quello di un'altra)</t>
  </si>
  <si>
    <t>Configura telemetria</t>
  </si>
  <si>
    <t>Pacchetto di Telemetria</t>
  </si>
  <si>
    <t xml:space="preserve"> (viene inviato dall'unità al master
  periodicamente quando si attiva la telemetria) </t>
  </si>
  <si>
    <t>Dati in little endian</t>
  </si>
  <si>
    <t>Vitual keyboard</t>
  </si>
  <si>
    <t>Tastiera virtuale per replicare i tasti tramite app. E' mappata a bit:
bit 0: TESTA SU
bit 1: PIEDI SU
bit 2: ORIZZONTALE
bit 3: MOLLEGGIO
 bit 4: TUTTO SU
bit 5: TUTTO GIU
bit 6: STOP
bit 7: LUCI</t>
  </si>
  <si>
    <t>Angolo minimo che si può raggiungere lato piedi
 da estratto: va da 13.8(tutto inclinato) a 0 (orizzontale)</t>
  </si>
  <si>
    <t>Learning set</t>
  </si>
  <si>
    <t>0 = apprendimento effettuato (R) / rimuovi apprendimento (W)
1 = apprendimento da fare (W)</t>
  </si>
  <si>
    <t>R3L-XP Master</t>
  </si>
  <si>
    <t>R3L-XP Slave</t>
  </si>
  <si>
    <t>Computer</t>
  </si>
  <si>
    <t>0x00000101</t>
  </si>
  <si>
    <t>0x0000013F</t>
  </si>
  <si>
    <t>0x000C0101</t>
  </si>
  <si>
    <t>0x000C0102</t>
  </si>
  <si>
    <t>0x000C0103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</si>
</sst>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charset val="1"/>
    </font>
    <font>
      <b/>
      <sz val="11"/>
      <color rgb="FF000000"/>
      <name val="Calibri"/>
      <family val="2"/>
      <charset val="1"/>
    </font>
    <font>
      <b/>
      <sz val="11"/>
      <color rgb="FFFFC000"/>
      <name val="Calibri"/>
      <family val="2"/>
      <charset val="1"/>
    </font>
    <font>
      <sz val="8"/>
      <color rgb="FF000000"/>
      <name val="Calibri"/>
      <family val="2"/>
      <charset val="1"/>
    </font>
    <font>
      <sz val="8"/>
      <name val="Calibri"/>
      <family val="2"/>
      <charset val="1"/>
    </font>
    <font>
      <sz val="8"/>
      <color rgb="FFFF0000"/>
      <name val="Calibri"/>
      <family val="2"/>
      <charset val="1"/>
    </font>
    <font>
      <sz val="11"/>
      <color rgb="FFFF0000"/>
      <name val="Calibri"/>
      <family val="2"/>
      <charset val="1"/>
    </font>
    <font>
      <sz val="9"/>
      <color rgb="FF000000"/>
      <name val="Calibri"/>
      <family val="2"/>
      <charset val="1"/>
    </font>
    <font>
      <sz val="10"/>
      <color theme="1"/>
      <name val="Consolas"/>
      <family val="3"/>
    </font>
    <font>
      <b/>
      <sz val="11"/>
      <color rgb="FF000000"/>
      <name val="Calibri"/>
      <family val="2"/>
    </font>
    <font>
      <sz val="11"/>
      <color rgb="FF000000"/>
      <name val="Calibri"/>
      <family val="2"/>
    </font>
    <font>
      <b/>
      <sz val="16"/>
      <color rgb="FF000000"/>
      <name val="Calibri"/>
      <family val="2"/>
    </font>
    <font>
      <sz val="11"/>
      <name val="Calibri"/>
      <family val="2"/>
    </font>
    <font>
      <u/>
      <sz val="11"/>
      <color rgb="FF000000"/>
      <name val="Calibri"/>
      <family val="2"/>
      <charset val="1"/>
    </font>
    <font>
      <sz val="11"/>
      <color theme="1"/>
      <name val="Calibri"/>
      <family val="2"/>
      <charset val="1"/>
    </font>
    <font>
      <sz val="8"/>
      <color rgb="FF000000"/>
      <name val="Calibri"/>
      <family val="2"/>
    </font>
  </fonts>
  <fills count="27">
    <fill>
      <patternFill patternType="none"/>
    </fill>
    <fill>
      <patternFill patternType="gray125"/>
    </fill>
    <fill>
      <patternFill patternType="solid">
        <fgColor rgb="FFFF0000"/>
        <bgColor rgb="FF993300"/>
      </patternFill>
    </fill>
    <fill>
      <patternFill patternType="solid">
        <fgColor rgb="FF00B0F0"/>
        <bgColor rgb="FF33CCCC"/>
      </patternFill>
    </fill>
    <fill>
      <patternFill patternType="solid">
        <fgColor rgb="FF92D050"/>
        <bgColor rgb="FFC0C0C0"/>
      </patternFill>
    </fill>
    <fill>
      <patternFill patternType="solid">
        <fgColor rgb="FFEEEEEE"/>
        <bgColor rgb="FFDEEBF7"/>
      </patternFill>
    </fill>
    <fill>
      <patternFill patternType="solid">
        <fgColor rgb="FF00B050"/>
        <bgColor rgb="FF008080"/>
      </patternFill>
    </fill>
    <fill>
      <patternFill patternType="solid">
        <fgColor rgb="FFFFC000"/>
        <bgColor rgb="FFFF9900"/>
      </patternFill>
    </fill>
    <fill>
      <patternFill patternType="solid">
        <fgColor rgb="FFFFFF00"/>
        <bgColor rgb="FFFFFF00"/>
      </patternFill>
    </fill>
    <fill>
      <patternFill patternType="solid">
        <fgColor rgb="FFDEEBF7"/>
        <bgColor rgb="FFEEEEEE"/>
      </patternFill>
    </fill>
    <fill>
      <patternFill patternType="solid">
        <fgColor rgb="FF7030A0"/>
        <bgColor rgb="FF993366"/>
      </patternFill>
    </fill>
    <fill>
      <patternFill patternType="solid">
        <fgColor rgb="FFFFFFFF"/>
        <bgColor rgb="FFEEEEEE"/>
      </patternFill>
    </fill>
    <fill>
      <patternFill patternType="solid">
        <fgColor theme="0"/>
        <bgColor rgb="FFC0C0C0"/>
      </patternFill>
    </fill>
    <fill>
      <patternFill patternType="solid">
        <fgColor rgb="FFFFFF00"/>
        <bgColor indexed="64"/>
      </patternFill>
    </fill>
    <fill>
      <patternFill patternType="solid">
        <fgColor rgb="FFFFFF00"/>
        <bgColor rgb="FFC0C0C0"/>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FFC000"/>
        <bgColor rgb="FFC0C0C0"/>
      </patternFill>
    </fill>
    <fill>
      <patternFill patternType="solid">
        <fgColor theme="5"/>
        <bgColor indexed="64"/>
      </patternFill>
    </fill>
    <fill>
      <patternFill patternType="solid">
        <fgColor rgb="FFFF0000"/>
        <bgColor rgb="FFC0C0C0"/>
      </patternFill>
    </fill>
    <fill>
      <patternFill patternType="solid">
        <fgColor rgb="FFFF0000"/>
        <bgColor indexed="64"/>
      </patternFill>
    </fill>
    <fill>
      <patternFill patternType="solid">
        <fgColor rgb="FF92D050"/>
        <bgColor rgb="FF993300"/>
      </patternFill>
    </fill>
    <fill>
      <patternFill patternType="solid">
        <fgColor theme="0"/>
        <bgColor rgb="FF993366"/>
      </patternFill>
    </fill>
    <fill>
      <patternFill patternType="solid">
        <fgColor rgb="FFEE0000"/>
        <bgColor indexed="64"/>
      </patternFill>
    </fill>
    <fill>
      <patternFill patternType="solid">
        <fgColor rgb="FFFFC000"/>
        <bgColor rgb="FF9933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4">
    <xf numFmtId="0" fontId="0" fillId="0" borderId="0" xfId="0"/>
    <xf numFmtId="0" fontId="0" fillId="0" borderId="0" xfId="0" applyAlignment="1">
      <alignment vertical="center"/>
    </xf>
    <xf numFmtId="0" fontId="1" fillId="4"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0" fillId="0" borderId="2" xfId="0" applyBorder="1" applyAlignment="1">
      <alignment horizontal="center" vertical="center"/>
    </xf>
    <xf numFmtId="0" fontId="0" fillId="5" borderId="3" xfId="0" applyFill="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9" borderId="1" xfId="0" applyFill="1" applyBorder="1" applyAlignment="1">
      <alignment horizontal="center" vertical="center"/>
    </xf>
    <xf numFmtId="0" fontId="0" fillId="4" borderId="0" xfId="0" applyFill="1" applyAlignment="1">
      <alignment horizontal="center" vertical="center"/>
    </xf>
    <xf numFmtId="3" fontId="0" fillId="0" borderId="0" xfId="0" applyNumberFormat="1" applyAlignment="1">
      <alignment horizontal="center" vertical="center"/>
    </xf>
    <xf numFmtId="0" fontId="0" fillId="4" borderId="0" xfId="0" applyFill="1" applyAlignment="1">
      <alignment vertical="center"/>
    </xf>
    <xf numFmtId="0" fontId="0" fillId="0" borderId="0" xfId="0" applyAlignment="1">
      <alignment horizontal="center" vertical="top" wrapText="1"/>
    </xf>
    <xf numFmtId="0" fontId="0" fillId="4" borderId="0" xfId="0" applyFill="1" applyAlignment="1">
      <alignment horizontal="center" vertical="top" wrapText="1"/>
    </xf>
    <xf numFmtId="0" fontId="3" fillId="0" borderId="0" xfId="0" applyFont="1" applyAlignment="1">
      <alignment horizontal="center" vertical="center" wrapText="1"/>
    </xf>
    <xf numFmtId="0" fontId="0" fillId="2" borderId="0" xfId="0" applyFill="1" applyAlignment="1">
      <alignment horizontal="center" vertical="center"/>
    </xf>
    <xf numFmtId="0" fontId="0" fillId="11" borderId="0" xfId="0" applyFill="1" applyAlignment="1">
      <alignment vertical="center"/>
    </xf>
    <xf numFmtId="0" fontId="0" fillId="0" borderId="0" xfId="0" applyAlignment="1">
      <alignment horizontal="left" vertical="top" wrapText="1"/>
    </xf>
    <xf numFmtId="0" fontId="2" fillId="11" borderId="1" xfId="0" applyFont="1" applyFill="1" applyBorder="1" applyAlignment="1">
      <alignment horizontal="center" vertical="center"/>
    </xf>
    <xf numFmtId="0" fontId="0" fillId="8" borderId="0" xfId="0" applyFill="1" applyAlignment="1">
      <alignment horizontal="center" vertical="center"/>
    </xf>
    <xf numFmtId="0" fontId="0" fillId="0" borderId="0" xfId="0" applyAlignment="1">
      <alignment horizontal="left" vertical="center"/>
    </xf>
    <xf numFmtId="0" fontId="1" fillId="3" borderId="0" xfId="0" applyFont="1" applyFill="1" applyAlignment="1">
      <alignment vertical="center"/>
    </xf>
    <xf numFmtId="0" fontId="1" fillId="3" borderId="0" xfId="0" applyFont="1" applyFill="1" applyAlignment="1">
      <alignment horizontal="left" vertical="center"/>
    </xf>
    <xf numFmtId="0" fontId="1" fillId="0" borderId="0" xfId="0" applyFont="1" applyAlignment="1">
      <alignment vertical="center"/>
    </xf>
    <xf numFmtId="0" fontId="1" fillId="0" borderId="1" xfId="0" applyFont="1" applyBorder="1" applyAlignment="1">
      <alignment horizontal="center" vertical="center"/>
    </xf>
    <xf numFmtId="0" fontId="0" fillId="4" borderId="0" xfId="0" applyFill="1"/>
    <xf numFmtId="0" fontId="8" fillId="0" borderId="0" xfId="0" applyFont="1" applyAlignment="1">
      <alignment horizontal="center" vertical="center" wrapText="1"/>
    </xf>
    <xf numFmtId="0" fontId="0" fillId="12" borderId="0" xfId="0" applyFill="1" applyAlignment="1">
      <alignment vertical="center"/>
    </xf>
    <xf numFmtId="0" fontId="0" fillId="0" borderId="0" xfId="0" applyAlignment="1">
      <alignment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0" fillId="17" borderId="0" xfId="0" applyFill="1" applyAlignment="1">
      <alignment horizontal="center" vertical="center"/>
    </xf>
    <xf numFmtId="0" fontId="10" fillId="0" borderId="0" xfId="0" applyFont="1" applyAlignment="1">
      <alignment vertical="center" wrapText="1"/>
    </xf>
    <xf numFmtId="0" fontId="2" fillId="10" borderId="5" xfId="0" applyFont="1" applyFill="1" applyBorder="1" applyAlignment="1">
      <alignment horizontal="center" vertical="center"/>
    </xf>
    <xf numFmtId="0" fontId="0" fillId="9" borderId="0" xfId="0" applyFill="1" applyAlignment="1">
      <alignment horizontal="center" vertical="center"/>
    </xf>
    <xf numFmtId="0" fontId="9" fillId="0" borderId="0" xfId="0" applyFont="1" applyAlignment="1">
      <alignment horizontal="center" vertical="top" wrapText="1"/>
    </xf>
    <xf numFmtId="0" fontId="0" fillId="13" borderId="0" xfId="0"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0" borderId="0" xfId="0" applyAlignment="1">
      <alignment horizontal="center"/>
    </xf>
    <xf numFmtId="0" fontId="0" fillId="20" borderId="0" xfId="0" applyFill="1" applyAlignment="1">
      <alignment horizontal="center"/>
    </xf>
    <xf numFmtId="0" fontId="0" fillId="18" borderId="0" xfId="0" applyFill="1" applyAlignment="1">
      <alignment horizontal="center"/>
    </xf>
    <xf numFmtId="0" fontId="0" fillId="13" borderId="0" xfId="0" applyFill="1" applyAlignment="1">
      <alignment horizontal="center"/>
    </xf>
    <xf numFmtId="0" fontId="0" fillId="21" borderId="0" xfId="0" applyFill="1" applyAlignment="1">
      <alignment horizontal="center" vertical="center"/>
    </xf>
    <xf numFmtId="0" fontId="0" fillId="5" borderId="4" xfId="0" applyFill="1" applyBorder="1" applyAlignment="1">
      <alignment horizontal="center" vertical="center"/>
    </xf>
    <xf numFmtId="0" fontId="0" fillId="15" borderId="3" xfId="0" applyFill="1" applyBorder="1" applyAlignment="1">
      <alignment horizontal="center" vertical="center"/>
    </xf>
    <xf numFmtId="0" fontId="2" fillId="10" borderId="0" xfId="0" applyFont="1" applyFill="1" applyAlignment="1">
      <alignment horizontal="center" vertical="center"/>
    </xf>
    <xf numFmtId="0" fontId="0" fillId="22" borderId="0" xfId="0" applyFill="1" applyAlignment="1">
      <alignment horizontal="center" vertical="center"/>
    </xf>
    <xf numFmtId="0" fontId="2" fillId="10" borderId="0" xfId="0" applyFont="1" applyFill="1" applyAlignment="1">
      <alignment vertical="center"/>
    </xf>
    <xf numFmtId="0" fontId="2" fillId="10" borderId="6" xfId="0" applyFont="1" applyFill="1" applyBorder="1" applyAlignment="1">
      <alignment vertical="center"/>
    </xf>
    <xf numFmtId="0" fontId="2" fillId="10" borderId="1" xfId="0" applyFont="1" applyFill="1" applyBorder="1" applyAlignment="1">
      <alignment vertical="center"/>
    </xf>
    <xf numFmtId="0" fontId="1" fillId="2"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6" borderId="8" xfId="0" applyFont="1" applyFill="1" applyBorder="1" applyAlignment="1">
      <alignment horizontal="center" vertical="center"/>
    </xf>
    <xf numFmtId="0" fontId="1" fillId="7" borderId="8" xfId="0" applyFont="1" applyFill="1" applyBorder="1" applyAlignment="1">
      <alignment horizontal="center" vertical="center"/>
    </xf>
    <xf numFmtId="0" fontId="1" fillId="8" borderId="8" xfId="0" applyFont="1" applyFill="1" applyBorder="1" applyAlignment="1">
      <alignment horizontal="center" vertical="center"/>
    </xf>
    <xf numFmtId="0" fontId="0" fillId="9" borderId="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0" xfId="0" quotePrefix="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7" borderId="0" xfId="0" applyFont="1" applyFill="1" applyAlignment="1">
      <alignment horizontal="center" vertical="center"/>
    </xf>
    <xf numFmtId="0" fontId="12" fillId="13" borderId="0" xfId="0" applyFont="1" applyFill="1" applyAlignment="1">
      <alignment horizontal="center" vertical="center"/>
    </xf>
    <xf numFmtId="0" fontId="0" fillId="15" borderId="1" xfId="0" applyFill="1" applyBorder="1" applyAlignment="1">
      <alignment horizontal="center" vertical="center"/>
    </xf>
    <xf numFmtId="1" fontId="0" fillId="0" borderId="0" xfId="0" applyNumberFormat="1" applyAlignment="1">
      <alignment horizontal="center" vertical="center"/>
    </xf>
    <xf numFmtId="0" fontId="2" fillId="10" borderId="6" xfId="0" applyFont="1" applyFill="1" applyBorder="1" applyAlignment="1">
      <alignment horizontal="center" vertical="center"/>
    </xf>
    <xf numFmtId="0" fontId="14" fillId="17" borderId="0" xfId="0" applyFont="1" applyFill="1" applyAlignment="1">
      <alignment horizontal="center" vertical="center"/>
    </xf>
    <xf numFmtId="0" fontId="14" fillId="4" borderId="0" xfId="0" applyFont="1" applyFill="1" applyAlignment="1">
      <alignment horizontal="center" vertical="center"/>
    </xf>
    <xf numFmtId="0" fontId="0" fillId="14" borderId="0" xfId="0" applyFill="1" applyAlignment="1">
      <alignment horizontal="center" vertical="center"/>
    </xf>
    <xf numFmtId="0" fontId="0" fillId="23" borderId="0" xfId="0" applyFill="1" applyAlignment="1">
      <alignment horizontal="center" vertical="center"/>
    </xf>
    <xf numFmtId="0" fontId="14" fillId="0" borderId="0" xfId="0" applyFont="1" applyAlignment="1">
      <alignment horizontal="center" vertical="center"/>
    </xf>
    <xf numFmtId="0" fontId="0" fillId="16" borderId="0" xfId="0" applyFill="1"/>
    <xf numFmtId="0" fontId="2" fillId="24" borderId="0" xfId="0" applyFont="1" applyFill="1" applyAlignment="1">
      <alignment horizontal="center" vertical="center"/>
    </xf>
    <xf numFmtId="0" fontId="0" fillId="15" borderId="1" xfId="0" applyFill="1" applyBorder="1" applyAlignment="1">
      <alignment horizontal="left" vertical="center"/>
    </xf>
    <xf numFmtId="3" fontId="0" fillId="0" borderId="0" xfId="0" applyNumberFormat="1" applyAlignment="1">
      <alignment vertical="center"/>
    </xf>
    <xf numFmtId="0" fontId="0" fillId="25" borderId="0" xfId="0" applyFill="1" applyAlignment="1">
      <alignment horizontal="center" vertical="center"/>
    </xf>
    <xf numFmtId="0" fontId="0" fillId="26" borderId="0" xfId="0" applyFill="1" applyAlignment="1">
      <alignment horizontal="center" vertical="center"/>
    </xf>
    <xf numFmtId="0" fontId="14" fillId="18" borderId="0" xfId="0" applyFont="1" applyFill="1" applyAlignment="1">
      <alignment horizontal="center" vertical="center"/>
    </xf>
    <xf numFmtId="0" fontId="10" fillId="0" borderId="0" xfId="0" applyFont="1" applyAlignment="1">
      <alignment horizontal="center" vertical="center" wrapText="1"/>
    </xf>
    <xf numFmtId="0" fontId="0" fillId="0" borderId="0" xfId="0" applyAlignment="1">
      <alignment horizontal="center" wrapText="1"/>
    </xf>
    <xf numFmtId="0" fontId="0" fillId="0" borderId="2" xfId="0" applyBorder="1" applyAlignment="1">
      <alignment horizontal="left" vertical="center"/>
    </xf>
    <xf numFmtId="0" fontId="0" fillId="5" borderId="3" xfId="0" applyFill="1" applyBorder="1" applyAlignment="1">
      <alignment horizontal="left" vertical="center"/>
    </xf>
    <xf numFmtId="0" fontId="0" fillId="0" borderId="1" xfId="0" applyBorder="1" applyAlignment="1">
      <alignment horizontal="left" vertical="center"/>
    </xf>
    <xf numFmtId="0" fontId="0" fillId="0" borderId="4" xfId="0" applyBorder="1" applyAlignment="1">
      <alignment horizontal="left" vertical="center"/>
    </xf>
    <xf numFmtId="0" fontId="0" fillId="5" borderId="4" xfId="0" applyFill="1" applyBorder="1" applyAlignment="1">
      <alignment horizontal="left" vertical="center"/>
    </xf>
    <xf numFmtId="0" fontId="0" fillId="15" borderId="3" xfId="0" applyFill="1" applyBorder="1" applyAlignment="1">
      <alignment horizontal="left" vertical="center"/>
    </xf>
    <xf numFmtId="0" fontId="0" fillId="0" borderId="1" xfId="0" applyBorder="1" applyAlignment="1">
      <alignment horizontal="left" vertical="center" wrapText="1"/>
    </xf>
    <xf numFmtId="0" fontId="0" fillId="16" borderId="1" xfId="0" applyFill="1" applyBorder="1" applyAlignment="1">
      <alignment horizontal="left" vertical="center"/>
    </xf>
    <xf numFmtId="0" fontId="13" fillId="0" borderId="1" xfId="0" applyFont="1" applyBorder="1" applyAlignment="1">
      <alignment horizontal="left" vertical="center"/>
    </xf>
    <xf numFmtId="0" fontId="1" fillId="0" borderId="0" xfId="0" applyFont="1" applyAlignment="1">
      <alignment horizontal="center" vertical="center"/>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8" xfId="0" applyFont="1" applyFill="1" applyBorder="1" applyAlignment="1">
      <alignment horizontal="center" vertical="center"/>
    </xf>
    <xf numFmtId="0" fontId="2" fillId="10" borderId="9" xfId="0" applyFont="1" applyFill="1" applyBorder="1" applyAlignment="1">
      <alignment horizontal="center" vertical="center"/>
    </xf>
    <xf numFmtId="0" fontId="9" fillId="17" borderId="0" xfId="0" applyFont="1" applyFill="1" applyAlignment="1">
      <alignment horizontal="center" vertical="center"/>
    </xf>
    <xf numFmtId="0" fontId="1" fillId="4" borderId="1" xfId="0" applyFont="1" applyFill="1" applyBorder="1" applyAlignment="1">
      <alignment horizontal="center" vertical="center"/>
    </xf>
    <xf numFmtId="0" fontId="2" fillId="10" borderId="1" xfId="0" applyFont="1" applyFill="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0" fillId="0" borderId="0" xfId="0" applyAlignment="1">
      <alignment vertical="center"/>
    </xf>
    <xf numFmtId="0" fontId="2" fillId="10" borderId="5" xfId="0" applyFont="1" applyFill="1" applyBorder="1" applyAlignment="1">
      <alignment horizontal="center" vertical="center"/>
    </xf>
    <xf numFmtId="0" fontId="2" fillId="10" borderId="0" xfId="0" applyFont="1" applyFill="1" applyAlignment="1">
      <alignment horizontal="center" vertical="center"/>
    </xf>
    <xf numFmtId="0" fontId="1" fillId="3" borderId="8" xfId="0" applyFont="1" applyFill="1" applyBorder="1" applyAlignment="1">
      <alignment horizontal="center" vertical="center"/>
    </xf>
    <xf numFmtId="0" fontId="2" fillId="10" borderId="6"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EEEEE"/>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6"/>
  <sheetViews>
    <sheetView topLeftCell="A38" zoomScale="80" zoomScaleNormal="80" workbookViewId="0">
      <selection activeCell="B92" sqref="B92"/>
    </sheetView>
  </sheetViews>
  <sheetFormatPr defaultColWidth="8.5703125" defaultRowHeight="15" x14ac:dyDescent="0.25"/>
  <cols>
    <col min="1" max="1" width="59.42578125" bestFit="1" customWidth="1"/>
    <col min="2" max="2" width="20.28515625" style="3" bestFit="1" customWidth="1"/>
    <col min="3" max="3" width="19.5703125" style="3" bestFit="1" customWidth="1"/>
    <col min="4" max="4" width="97.7109375" style="3" customWidth="1"/>
    <col min="5" max="5" width="31" style="3" customWidth="1"/>
    <col min="6" max="6" width="47.28515625" customWidth="1"/>
    <col min="7" max="7" width="28" customWidth="1"/>
    <col min="8" max="8" width="72" customWidth="1"/>
    <col min="9" max="9" width="31.28515625" customWidth="1"/>
    <col min="10" max="10" width="37" customWidth="1"/>
    <col min="11" max="11" width="28.7109375" customWidth="1"/>
    <col min="12" max="12" width="36" customWidth="1"/>
    <col min="13" max="13" width="46.28515625" customWidth="1"/>
    <col min="14" max="14" width="30.7109375" customWidth="1"/>
    <col min="15" max="15" width="34.28515625" customWidth="1"/>
    <col min="16" max="16" width="31.28515625" customWidth="1"/>
    <col min="17" max="17" width="25.42578125" customWidth="1"/>
    <col min="18" max="18" width="56.7109375" customWidth="1"/>
    <col min="19" max="19" width="27" customWidth="1"/>
    <col min="20" max="20" width="21" customWidth="1"/>
    <col min="21" max="21" width="22.28515625" customWidth="1"/>
    <col min="22" max="22" width="41.42578125" customWidth="1"/>
    <col min="23" max="24" width="34.7109375" customWidth="1"/>
    <col min="25" max="25" width="35.42578125" customWidth="1"/>
    <col min="26" max="26" width="28.7109375" customWidth="1"/>
    <col min="27" max="27" width="25.42578125" customWidth="1"/>
    <col min="28" max="28" width="26.5703125" customWidth="1"/>
    <col min="30" max="30" width="34.5703125" customWidth="1"/>
    <col min="31" max="31" width="28.42578125" customWidth="1"/>
  </cols>
  <sheetData>
    <row r="1" spans="1:18" x14ac:dyDescent="0.25">
      <c r="A1" s="4" t="s">
        <v>0</v>
      </c>
      <c r="B1" s="5" t="s">
        <v>1</v>
      </c>
      <c r="C1" s="5" t="s">
        <v>2</v>
      </c>
      <c r="D1" s="105" t="s">
        <v>3</v>
      </c>
      <c r="E1" s="105"/>
      <c r="F1" s="105"/>
      <c r="G1" s="105"/>
      <c r="H1" s="105"/>
    </row>
    <row r="2" spans="1:18" x14ac:dyDescent="0.25">
      <c r="A2" s="89" t="s">
        <v>4</v>
      </c>
      <c r="B2" s="6">
        <v>0</v>
      </c>
      <c r="C2" s="6">
        <v>0</v>
      </c>
    </row>
    <row r="3" spans="1:18" x14ac:dyDescent="0.25">
      <c r="A3" s="90" t="s">
        <v>5</v>
      </c>
      <c r="B3" s="7">
        <v>80</v>
      </c>
      <c r="C3" s="7">
        <v>0</v>
      </c>
      <c r="D3" s="3" t="s">
        <v>6</v>
      </c>
      <c r="E3" s="3" t="s">
        <v>7</v>
      </c>
    </row>
    <row r="4" spans="1:18" x14ac:dyDescent="0.25">
      <c r="A4" s="89" t="s">
        <v>8</v>
      </c>
      <c r="B4" s="6">
        <v>0</v>
      </c>
      <c r="C4" s="6">
        <v>1</v>
      </c>
      <c r="D4" s="3" t="s">
        <v>9</v>
      </c>
      <c r="E4" s="3" t="s">
        <v>10</v>
      </c>
    </row>
    <row r="5" spans="1:18" x14ac:dyDescent="0.25">
      <c r="A5" s="90" t="s">
        <v>11</v>
      </c>
      <c r="B5" s="7">
        <v>80</v>
      </c>
      <c r="C5" s="7">
        <v>1</v>
      </c>
      <c r="D5" s="3" t="s">
        <v>9</v>
      </c>
      <c r="E5" s="3" t="s">
        <v>10</v>
      </c>
      <c r="F5" s="3" t="s">
        <v>12</v>
      </c>
    </row>
    <row r="6" spans="1:18" x14ac:dyDescent="0.25">
      <c r="A6" s="89" t="s">
        <v>13</v>
      </c>
      <c r="B6" s="6">
        <v>0</v>
      </c>
      <c r="C6" s="6">
        <v>2</v>
      </c>
      <c r="D6" s="3" t="s">
        <v>9</v>
      </c>
      <c r="E6" s="3" t="s">
        <v>10</v>
      </c>
      <c r="F6" s="3" t="s">
        <v>12</v>
      </c>
    </row>
    <row r="7" spans="1:18" x14ac:dyDescent="0.25">
      <c r="A7" s="90" t="s">
        <v>14</v>
      </c>
      <c r="B7" s="7">
        <v>80</v>
      </c>
      <c r="C7" s="7">
        <v>2</v>
      </c>
      <c r="D7" s="3" t="s">
        <v>9</v>
      </c>
      <c r="E7" s="3" t="s">
        <v>10</v>
      </c>
      <c r="F7" s="3"/>
    </row>
    <row r="8" spans="1:18" x14ac:dyDescent="0.25">
      <c r="A8" s="89" t="s">
        <v>15</v>
      </c>
      <c r="B8" s="6">
        <v>0</v>
      </c>
      <c r="C8" s="6">
        <v>3</v>
      </c>
      <c r="D8" s="3" t="s">
        <v>16</v>
      </c>
      <c r="E8" s="3" t="s">
        <v>17</v>
      </c>
      <c r="F8" s="3" t="s">
        <v>18</v>
      </c>
      <c r="G8" s="3" t="s">
        <v>19</v>
      </c>
    </row>
    <row r="9" spans="1:18" x14ac:dyDescent="0.25">
      <c r="A9" s="90" t="s">
        <v>20</v>
      </c>
      <c r="B9" s="7">
        <v>80</v>
      </c>
      <c r="C9" s="7">
        <v>3</v>
      </c>
      <c r="D9" s="3" t="s">
        <v>16</v>
      </c>
      <c r="E9" s="3" t="s">
        <v>17</v>
      </c>
      <c r="F9" s="3" t="s">
        <v>18</v>
      </c>
      <c r="G9" s="3" t="s">
        <v>18</v>
      </c>
      <c r="H9" s="3" t="s">
        <v>21</v>
      </c>
    </row>
    <row r="10" spans="1:18" x14ac:dyDescent="0.25">
      <c r="A10" s="89" t="s">
        <v>22</v>
      </c>
      <c r="B10" s="6">
        <v>0</v>
      </c>
      <c r="C10" s="6">
        <v>4</v>
      </c>
      <c r="D10" s="3" t="s">
        <v>9</v>
      </c>
      <c r="E10" s="3" t="s">
        <v>10</v>
      </c>
      <c r="F10" s="3" t="s">
        <v>23</v>
      </c>
      <c r="G10" s="3" t="s">
        <v>24</v>
      </c>
      <c r="H10" s="3" t="s">
        <v>25</v>
      </c>
    </row>
    <row r="11" spans="1:18" x14ac:dyDescent="0.25">
      <c r="A11" s="90" t="s">
        <v>26</v>
      </c>
      <c r="B11" s="7">
        <v>80</v>
      </c>
      <c r="C11" s="7">
        <v>4</v>
      </c>
      <c r="D11" s="3" t="s">
        <v>9</v>
      </c>
      <c r="E11" s="3" t="s">
        <v>10</v>
      </c>
      <c r="F11" s="3" t="s">
        <v>23</v>
      </c>
      <c r="G11" s="3" t="s">
        <v>24</v>
      </c>
    </row>
    <row r="12" spans="1:18" x14ac:dyDescent="0.25">
      <c r="A12" s="89" t="s">
        <v>27</v>
      </c>
      <c r="B12" s="6">
        <v>0</v>
      </c>
      <c r="C12" s="6">
        <v>5</v>
      </c>
      <c r="F12" s="3"/>
      <c r="G12" s="3"/>
      <c r="H12" s="3"/>
    </row>
    <row r="13" spans="1:18" ht="30" x14ac:dyDescent="0.25">
      <c r="A13" s="90" t="s">
        <v>28</v>
      </c>
      <c r="B13" s="7">
        <v>80</v>
      </c>
      <c r="C13" s="7">
        <v>5</v>
      </c>
      <c r="D13" s="8" t="s">
        <v>29</v>
      </c>
      <c r="F13" s="3"/>
      <c r="G13" s="3"/>
    </row>
    <row r="14" spans="1:18" x14ac:dyDescent="0.25">
      <c r="A14" s="89" t="s">
        <v>30</v>
      </c>
      <c r="B14" s="6">
        <v>0</v>
      </c>
      <c r="C14" s="6">
        <v>6</v>
      </c>
      <c r="F14" s="3"/>
      <c r="G14" s="3"/>
      <c r="H14" s="3"/>
      <c r="I14" s="3"/>
      <c r="J14" s="3"/>
      <c r="K14" s="3"/>
      <c r="L14" s="3"/>
      <c r="M14" s="3"/>
      <c r="N14" s="3"/>
      <c r="O14" s="3"/>
      <c r="P14" s="3"/>
      <c r="Q14" s="3"/>
    </row>
    <row r="15" spans="1:18" ht="30" x14ac:dyDescent="0.25">
      <c r="A15" s="90" t="s">
        <v>31</v>
      </c>
      <c r="B15" s="7">
        <v>80</v>
      </c>
      <c r="C15" s="7">
        <v>6</v>
      </c>
      <c r="D15" s="8" t="s">
        <v>29</v>
      </c>
      <c r="F15" s="3"/>
      <c r="G15" s="3"/>
    </row>
    <row r="16" spans="1:18" x14ac:dyDescent="0.25">
      <c r="A16" s="89" t="s">
        <v>32</v>
      </c>
      <c r="B16" s="6">
        <v>0</v>
      </c>
      <c r="C16" s="6">
        <v>7</v>
      </c>
      <c r="D16" s="3" t="s">
        <v>33</v>
      </c>
      <c r="E16" s="3" t="s">
        <v>34</v>
      </c>
      <c r="F16" s="3" t="s">
        <v>35</v>
      </c>
      <c r="G16" s="3" t="s">
        <v>36</v>
      </c>
      <c r="H16" s="3" t="s">
        <v>37</v>
      </c>
      <c r="I16" s="3" t="s">
        <v>38</v>
      </c>
      <c r="J16" s="3" t="s">
        <v>39</v>
      </c>
      <c r="K16" s="3" t="s">
        <v>40</v>
      </c>
      <c r="L16" s="3" t="s">
        <v>41</v>
      </c>
      <c r="M16" s="3" t="s">
        <v>42</v>
      </c>
      <c r="N16" s="3" t="s">
        <v>43</v>
      </c>
      <c r="O16" s="3" t="s">
        <v>44</v>
      </c>
      <c r="P16" s="3" t="s">
        <v>45</v>
      </c>
      <c r="Q16" s="3" t="s">
        <v>46</v>
      </c>
      <c r="R16" s="3" t="s">
        <v>47</v>
      </c>
    </row>
    <row r="17" spans="1:18" x14ac:dyDescent="0.25">
      <c r="A17" s="90" t="s">
        <v>48</v>
      </c>
      <c r="B17" s="7">
        <v>80</v>
      </c>
      <c r="C17" s="7">
        <v>7</v>
      </c>
      <c r="D17" s="3" t="s">
        <v>33</v>
      </c>
      <c r="E17" s="3" t="s">
        <v>34</v>
      </c>
      <c r="F17" s="3" t="s">
        <v>35</v>
      </c>
      <c r="G17" s="3" t="s">
        <v>36</v>
      </c>
      <c r="H17" s="3" t="s">
        <v>37</v>
      </c>
      <c r="I17" s="3" t="s">
        <v>38</v>
      </c>
      <c r="J17" s="3" t="s">
        <v>39</v>
      </c>
      <c r="K17" s="3" t="s">
        <v>40</v>
      </c>
      <c r="L17" s="3" t="s">
        <v>41</v>
      </c>
      <c r="M17" s="3" t="s">
        <v>42</v>
      </c>
      <c r="N17" s="3" t="s">
        <v>43</v>
      </c>
      <c r="O17" s="3" t="s">
        <v>44</v>
      </c>
      <c r="P17" s="3" t="s">
        <v>45</v>
      </c>
      <c r="Q17" s="3" t="s">
        <v>46</v>
      </c>
      <c r="R17" s="3" t="s">
        <v>49</v>
      </c>
    </row>
    <row r="18" spans="1:18" x14ac:dyDescent="0.25">
      <c r="A18" s="89" t="s">
        <v>50</v>
      </c>
      <c r="B18" s="6">
        <v>0</v>
      </c>
      <c r="C18" s="6">
        <v>8</v>
      </c>
    </row>
    <row r="19" spans="1:18" ht="30" x14ac:dyDescent="0.25">
      <c r="A19" s="90" t="s">
        <v>51</v>
      </c>
      <c r="B19" s="7">
        <v>80</v>
      </c>
      <c r="C19" s="7">
        <v>8</v>
      </c>
      <c r="D19" s="8" t="s">
        <v>29</v>
      </c>
      <c r="F19" s="3"/>
    </row>
    <row r="20" spans="1:18" x14ac:dyDescent="0.25">
      <c r="A20" s="89" t="s">
        <v>52</v>
      </c>
      <c r="B20" s="6">
        <v>0</v>
      </c>
      <c r="C20" s="6">
        <v>9</v>
      </c>
    </row>
    <row r="21" spans="1:18" ht="30" x14ac:dyDescent="0.25">
      <c r="A21" s="90" t="s">
        <v>53</v>
      </c>
      <c r="B21" s="7">
        <v>80</v>
      </c>
      <c r="C21" s="7">
        <v>9</v>
      </c>
      <c r="D21" s="8" t="s">
        <v>29</v>
      </c>
    </row>
    <row r="22" spans="1:18" x14ac:dyDescent="0.25">
      <c r="A22" s="89" t="s">
        <v>54</v>
      </c>
      <c r="B22" s="6">
        <v>0</v>
      </c>
      <c r="C22" s="6" t="s">
        <v>55</v>
      </c>
    </row>
    <row r="23" spans="1:18" x14ac:dyDescent="0.25">
      <c r="A23" s="90" t="s">
        <v>56</v>
      </c>
      <c r="B23" s="7">
        <v>80</v>
      </c>
      <c r="C23" s="7" t="s">
        <v>55</v>
      </c>
    </row>
    <row r="24" spans="1:18" x14ac:dyDescent="0.25">
      <c r="A24" s="91" t="s">
        <v>383</v>
      </c>
      <c r="B24" s="9">
        <v>0</v>
      </c>
      <c r="C24" s="9" t="s">
        <v>57</v>
      </c>
    </row>
    <row r="25" spans="1:18" x14ac:dyDescent="0.25">
      <c r="A25" s="91" t="s">
        <v>384</v>
      </c>
      <c r="B25" s="9">
        <v>0</v>
      </c>
      <c r="C25" s="9" t="s">
        <v>58</v>
      </c>
    </row>
    <row r="26" spans="1:18" ht="30" x14ac:dyDescent="0.25">
      <c r="A26" s="91" t="s">
        <v>59</v>
      </c>
      <c r="B26" s="9">
        <v>0</v>
      </c>
      <c r="C26" s="9" t="s">
        <v>60</v>
      </c>
      <c r="D26" s="8" t="s">
        <v>61</v>
      </c>
    </row>
    <row r="27" spans="1:18" ht="30" x14ac:dyDescent="0.25">
      <c r="A27" s="91" t="s">
        <v>62</v>
      </c>
      <c r="B27" s="9">
        <v>0</v>
      </c>
      <c r="C27" s="9" t="s">
        <v>63</v>
      </c>
      <c r="D27" s="8" t="s">
        <v>61</v>
      </c>
    </row>
    <row r="28" spans="1:18" x14ac:dyDescent="0.25">
      <c r="A28" s="89" t="s">
        <v>64</v>
      </c>
      <c r="B28" s="6">
        <v>0</v>
      </c>
      <c r="C28" s="6" t="s">
        <v>65</v>
      </c>
      <c r="D28" s="8"/>
      <c r="E28" s="8"/>
    </row>
    <row r="29" spans="1:18" ht="30" x14ac:dyDescent="0.25">
      <c r="A29" s="90" t="s">
        <v>66</v>
      </c>
      <c r="B29" s="7">
        <v>80</v>
      </c>
      <c r="C29" s="7" t="s">
        <v>65</v>
      </c>
      <c r="D29" s="8" t="s">
        <v>29</v>
      </c>
    </row>
    <row r="30" spans="1:18" ht="30" x14ac:dyDescent="0.25">
      <c r="A30" s="89" t="s">
        <v>67</v>
      </c>
      <c r="B30" s="6">
        <v>0</v>
      </c>
      <c r="C30" s="6">
        <v>10</v>
      </c>
      <c r="D30" s="8" t="s">
        <v>622</v>
      </c>
      <c r="E30" s="8" t="s">
        <v>68</v>
      </c>
    </row>
    <row r="31" spans="1:18" ht="30" x14ac:dyDescent="0.25">
      <c r="A31" s="90" t="s">
        <v>69</v>
      </c>
      <c r="B31" s="7">
        <v>80</v>
      </c>
      <c r="C31" s="7">
        <v>10</v>
      </c>
      <c r="D31" s="8" t="s">
        <v>29</v>
      </c>
    </row>
    <row r="32" spans="1:18" x14ac:dyDescent="0.25">
      <c r="A32" s="92" t="s">
        <v>70</v>
      </c>
      <c r="B32" s="6">
        <v>0</v>
      </c>
      <c r="C32" s="6">
        <v>11</v>
      </c>
    </row>
    <row r="33" spans="1:31" ht="30" x14ac:dyDescent="0.25">
      <c r="A33" s="90" t="s">
        <v>71</v>
      </c>
      <c r="B33" s="7">
        <v>80</v>
      </c>
      <c r="C33" s="7">
        <v>11</v>
      </c>
      <c r="D33" s="8" t="s">
        <v>29</v>
      </c>
    </row>
    <row r="34" spans="1:31" ht="30" x14ac:dyDescent="0.25">
      <c r="A34" s="89" t="s">
        <v>72</v>
      </c>
      <c r="B34" s="6">
        <v>0</v>
      </c>
      <c r="C34" s="6">
        <v>12</v>
      </c>
      <c r="D34" s="8" t="s">
        <v>73</v>
      </c>
      <c r="E34" s="3" t="s">
        <v>74</v>
      </c>
      <c r="F34" s="3" t="s">
        <v>75</v>
      </c>
      <c r="G34" s="3" t="s">
        <v>76</v>
      </c>
      <c r="H34" s="3" t="s">
        <v>77</v>
      </c>
    </row>
    <row r="35" spans="1:31" ht="30" x14ac:dyDescent="0.25">
      <c r="A35" s="93" t="s">
        <v>78</v>
      </c>
      <c r="B35" s="51">
        <v>80</v>
      </c>
      <c r="C35" s="51">
        <v>12</v>
      </c>
      <c r="D35" s="8" t="s">
        <v>621</v>
      </c>
      <c r="F35" s="3"/>
      <c r="G35" s="3"/>
      <c r="H35" s="3"/>
    </row>
    <row r="36" spans="1:31" x14ac:dyDescent="0.25">
      <c r="A36" s="91" t="s">
        <v>385</v>
      </c>
      <c r="B36" s="9">
        <v>0</v>
      </c>
      <c r="C36" s="9">
        <v>13</v>
      </c>
      <c r="D36" s="3" t="s">
        <v>387</v>
      </c>
      <c r="E36" s="3" t="s">
        <v>388</v>
      </c>
      <c r="F36" s="3" t="s">
        <v>389</v>
      </c>
      <c r="G36" s="3" t="s">
        <v>390</v>
      </c>
      <c r="H36" s="3" t="s">
        <v>391</v>
      </c>
      <c r="I36" s="3" t="s">
        <v>392</v>
      </c>
      <c r="J36" s="3" t="s">
        <v>393</v>
      </c>
      <c r="K36" s="3" t="s">
        <v>394</v>
      </c>
      <c r="L36" s="3" t="s">
        <v>395</v>
      </c>
      <c r="M36" s="3" t="s">
        <v>396</v>
      </c>
    </row>
    <row r="37" spans="1:31" x14ac:dyDescent="0.25">
      <c r="A37" s="91" t="s">
        <v>386</v>
      </c>
      <c r="B37" s="9">
        <v>0</v>
      </c>
      <c r="C37" s="9">
        <v>14</v>
      </c>
    </row>
    <row r="38" spans="1:31" ht="75" x14ac:dyDescent="0.25">
      <c r="A38" s="89" t="s">
        <v>1020</v>
      </c>
      <c r="B38" s="6">
        <v>0</v>
      </c>
      <c r="C38" s="6">
        <v>15</v>
      </c>
      <c r="D38" s="8" t="s">
        <v>756</v>
      </c>
      <c r="E38" s="3" t="s">
        <v>757</v>
      </c>
      <c r="F38" s="3" t="s">
        <v>758</v>
      </c>
      <c r="G38" s="3" t="s">
        <v>759</v>
      </c>
      <c r="H38" s="8" t="s">
        <v>917</v>
      </c>
      <c r="I38" s="3" t="s">
        <v>918</v>
      </c>
      <c r="J38" s="3" t="s">
        <v>919</v>
      </c>
      <c r="K38" s="3" t="s">
        <v>920</v>
      </c>
      <c r="L38" s="8" t="s">
        <v>1016</v>
      </c>
      <c r="M38" s="3" t="s">
        <v>428</v>
      </c>
      <c r="N38" s="3" t="s">
        <v>429</v>
      </c>
      <c r="O38" s="8" t="s">
        <v>1019</v>
      </c>
      <c r="P38" s="3" t="s">
        <v>463</v>
      </c>
      <c r="Q38" s="3" t="s">
        <v>464</v>
      </c>
      <c r="R38" s="3" t="s">
        <v>465</v>
      </c>
      <c r="S38" s="3" t="s">
        <v>583</v>
      </c>
      <c r="T38" s="3" t="s">
        <v>584</v>
      </c>
      <c r="U38" s="3" t="s">
        <v>582</v>
      </c>
      <c r="V38" s="3" t="s">
        <v>1017</v>
      </c>
      <c r="W38" s="3" t="s">
        <v>586</v>
      </c>
    </row>
    <row r="39" spans="1:31" x14ac:dyDescent="0.25">
      <c r="A39" s="94" t="s">
        <v>431</v>
      </c>
      <c r="B39" s="52">
        <v>80</v>
      </c>
      <c r="C39" s="52">
        <v>15</v>
      </c>
    </row>
    <row r="40" spans="1:31" x14ac:dyDescent="0.25">
      <c r="A40" s="89" t="s">
        <v>430</v>
      </c>
      <c r="B40" s="6">
        <v>0</v>
      </c>
      <c r="C40" s="6">
        <v>16</v>
      </c>
      <c r="D40" s="3" t="s">
        <v>1018</v>
      </c>
    </row>
    <row r="41" spans="1:31" x14ac:dyDescent="0.25">
      <c r="A41" s="94" t="s">
        <v>432</v>
      </c>
      <c r="B41" s="52">
        <v>80</v>
      </c>
      <c r="C41" s="52">
        <v>16</v>
      </c>
    </row>
    <row r="42" spans="1:31" x14ac:dyDescent="0.25">
      <c r="A42" s="89" t="s">
        <v>433</v>
      </c>
      <c r="B42" s="6">
        <v>0</v>
      </c>
      <c r="C42" s="6">
        <v>17</v>
      </c>
      <c r="D42" s="3" t="s">
        <v>1018</v>
      </c>
    </row>
    <row r="43" spans="1:31" x14ac:dyDescent="0.25">
      <c r="A43" s="94" t="s">
        <v>434</v>
      </c>
      <c r="B43" s="52">
        <v>80</v>
      </c>
      <c r="C43" s="52">
        <v>17</v>
      </c>
    </row>
    <row r="44" spans="1:31" ht="60" x14ac:dyDescent="0.25">
      <c r="A44" s="95" t="s">
        <v>1021</v>
      </c>
      <c r="B44" s="9">
        <v>0</v>
      </c>
      <c r="C44" s="9">
        <v>18</v>
      </c>
      <c r="D44" s="8" t="s">
        <v>756</v>
      </c>
      <c r="E44" s="3" t="s">
        <v>757</v>
      </c>
      <c r="F44" s="3" t="s">
        <v>758</v>
      </c>
      <c r="G44" s="3" t="s">
        <v>759</v>
      </c>
      <c r="H44" s="3" t="s">
        <v>1023</v>
      </c>
      <c r="I44" s="8" t="s">
        <v>1022</v>
      </c>
    </row>
    <row r="45" spans="1:31" ht="37.5" x14ac:dyDescent="0.25">
      <c r="A45" s="96" t="s">
        <v>466</v>
      </c>
      <c r="B45" s="9">
        <v>0</v>
      </c>
      <c r="C45" s="9">
        <v>19</v>
      </c>
      <c r="D45" s="8" t="s">
        <v>722</v>
      </c>
      <c r="E45" s="3" t="s">
        <v>723</v>
      </c>
      <c r="F45" s="3" t="s">
        <v>724</v>
      </c>
      <c r="G45" s="3" t="s">
        <v>725</v>
      </c>
      <c r="H45" s="8" t="s">
        <v>726</v>
      </c>
      <c r="J45" s="3" t="s">
        <v>467</v>
      </c>
      <c r="K45" s="3" t="s">
        <v>468</v>
      </c>
      <c r="L45" s="3" t="s">
        <v>469</v>
      </c>
      <c r="M45" s="3" t="s">
        <v>470</v>
      </c>
      <c r="N45" s="3" t="s">
        <v>471</v>
      </c>
      <c r="O45" s="3" t="s">
        <v>473</v>
      </c>
      <c r="P45" s="3" t="s">
        <v>474</v>
      </c>
      <c r="Q45" s="3" t="s">
        <v>475</v>
      </c>
      <c r="R45" s="3" t="s">
        <v>476</v>
      </c>
      <c r="S45" s="3" t="s">
        <v>727</v>
      </c>
      <c r="T45" s="3" t="s">
        <v>728</v>
      </c>
      <c r="U45" s="3" t="s">
        <v>428</v>
      </c>
      <c r="V45" s="3" t="s">
        <v>429</v>
      </c>
      <c r="W45" s="3" t="s">
        <v>462</v>
      </c>
      <c r="X45" s="3" t="s">
        <v>463</v>
      </c>
      <c r="Y45" s="3" t="s">
        <v>464</v>
      </c>
      <c r="Z45" s="3" t="s">
        <v>465</v>
      </c>
      <c r="AA45" s="3" t="s">
        <v>583</v>
      </c>
      <c r="AB45" s="3" t="s">
        <v>584</v>
      </c>
      <c r="AC45" s="3" t="s">
        <v>582</v>
      </c>
      <c r="AD45" s="3" t="s">
        <v>585</v>
      </c>
      <c r="AE45" s="3" t="s">
        <v>586</v>
      </c>
    </row>
    <row r="46" spans="1:31" x14ac:dyDescent="0.25">
      <c r="A46" s="97" t="s">
        <v>491</v>
      </c>
      <c r="B46" s="9">
        <v>0</v>
      </c>
      <c r="C46" s="9" t="s">
        <v>341</v>
      </c>
      <c r="D46" s="3" t="s">
        <v>729</v>
      </c>
      <c r="F46" s="3"/>
      <c r="G46" s="3"/>
      <c r="H46" s="3"/>
      <c r="I46" s="3"/>
      <c r="J46" s="3"/>
      <c r="K46" s="3"/>
      <c r="L46" s="3"/>
      <c r="M46" s="3"/>
      <c r="N46" s="3"/>
      <c r="O46" s="3"/>
      <c r="P46" s="3"/>
      <c r="Q46" s="3"/>
      <c r="R46" s="3"/>
      <c r="S46" s="3"/>
      <c r="T46" s="3"/>
      <c r="U46" s="3"/>
      <c r="V46" s="3"/>
      <c r="W46" s="3"/>
      <c r="X46" s="3"/>
      <c r="Y46" s="3"/>
      <c r="Z46" s="3"/>
    </row>
    <row r="47" spans="1:31" x14ac:dyDescent="0.25">
      <c r="A47" s="82" t="s">
        <v>492</v>
      </c>
      <c r="B47" s="72">
        <v>80</v>
      </c>
      <c r="C47" s="72" t="s">
        <v>341</v>
      </c>
      <c r="F47" s="3"/>
      <c r="G47" s="3"/>
      <c r="H47" s="3"/>
      <c r="I47" s="3"/>
      <c r="J47" s="3"/>
      <c r="K47" s="3"/>
      <c r="L47" s="3"/>
      <c r="M47" s="3"/>
      <c r="N47" s="3"/>
      <c r="O47" s="3"/>
      <c r="P47" s="3"/>
      <c r="Q47" s="3"/>
      <c r="R47" s="3"/>
      <c r="S47" s="3"/>
      <c r="T47" s="3"/>
      <c r="U47" s="3"/>
      <c r="V47" s="3"/>
      <c r="W47" s="3"/>
      <c r="X47" s="3"/>
      <c r="Y47" s="3"/>
      <c r="Z47" s="3"/>
    </row>
    <row r="48" spans="1:31" x14ac:dyDescent="0.25">
      <c r="A48" s="91" t="s">
        <v>493</v>
      </c>
      <c r="B48" s="9">
        <v>0</v>
      </c>
      <c r="C48" s="9" t="s">
        <v>488</v>
      </c>
      <c r="D48" s="3" t="s">
        <v>729</v>
      </c>
      <c r="F48" s="3"/>
      <c r="G48" s="3"/>
      <c r="H48" s="3"/>
      <c r="I48" s="3"/>
      <c r="J48" s="3"/>
      <c r="K48" s="3"/>
      <c r="L48" s="3"/>
      <c r="M48" s="3"/>
      <c r="N48" s="3"/>
      <c r="O48" s="3"/>
      <c r="P48" s="3"/>
      <c r="Q48" s="3"/>
      <c r="R48" s="3"/>
      <c r="S48" s="3"/>
      <c r="T48" s="3"/>
      <c r="U48" s="3"/>
      <c r="V48" s="3"/>
      <c r="W48" s="3"/>
      <c r="X48" s="3"/>
      <c r="Y48" s="3"/>
      <c r="Z48" s="3"/>
    </row>
    <row r="49" spans="1:31" x14ac:dyDescent="0.25">
      <c r="A49" s="82" t="s">
        <v>494</v>
      </c>
      <c r="B49" s="72">
        <v>80</v>
      </c>
      <c r="C49" s="72" t="s">
        <v>488</v>
      </c>
      <c r="F49" s="3"/>
      <c r="G49" s="3"/>
      <c r="H49" s="3"/>
      <c r="I49" s="3"/>
      <c r="J49" s="3"/>
      <c r="K49" s="3"/>
      <c r="L49" s="3"/>
      <c r="M49" s="3"/>
      <c r="N49" s="3"/>
      <c r="O49" s="3"/>
      <c r="P49" s="3"/>
      <c r="Q49" s="3"/>
      <c r="R49" s="3"/>
      <c r="S49" s="3"/>
      <c r="T49" s="3"/>
      <c r="U49" s="3"/>
      <c r="V49" s="3"/>
      <c r="W49" s="3"/>
      <c r="X49" s="3"/>
      <c r="Y49" s="3"/>
      <c r="Z49" s="3"/>
    </row>
    <row r="50" spans="1:31" ht="26.25" x14ac:dyDescent="0.25">
      <c r="A50" s="91" t="s">
        <v>495</v>
      </c>
      <c r="B50" s="9">
        <v>0</v>
      </c>
      <c r="C50" s="9" t="s">
        <v>489</v>
      </c>
      <c r="D50" s="8" t="s">
        <v>730</v>
      </c>
      <c r="E50" s="3" t="s">
        <v>588</v>
      </c>
      <c r="F50" s="3" t="s">
        <v>589</v>
      </c>
      <c r="G50" s="3" t="s">
        <v>590</v>
      </c>
      <c r="H50" s="3"/>
      <c r="I50" s="3"/>
      <c r="J50" s="3"/>
      <c r="K50" s="3"/>
      <c r="L50" s="3"/>
      <c r="M50" s="3"/>
      <c r="N50" s="3"/>
      <c r="O50" s="3"/>
      <c r="P50" s="3"/>
      <c r="Q50" s="3"/>
      <c r="R50" s="3"/>
      <c r="S50" s="3"/>
      <c r="T50" s="3"/>
      <c r="U50" s="3"/>
      <c r="V50" s="3"/>
      <c r="W50" s="3"/>
      <c r="X50" s="3"/>
      <c r="Y50" s="3"/>
      <c r="Z50" s="3"/>
    </row>
    <row r="51" spans="1:31" x14ac:dyDescent="0.25">
      <c r="A51" s="82" t="s">
        <v>496</v>
      </c>
      <c r="B51" s="72">
        <v>80</v>
      </c>
      <c r="C51" s="72" t="s">
        <v>489</v>
      </c>
      <c r="D51" s="3" t="s">
        <v>587</v>
      </c>
      <c r="E51" s="3" t="s">
        <v>588</v>
      </c>
      <c r="F51" s="3" t="s">
        <v>589</v>
      </c>
      <c r="G51" s="3" t="s">
        <v>590</v>
      </c>
      <c r="H51" s="3" t="s">
        <v>731</v>
      </c>
      <c r="I51" s="3" t="s">
        <v>723</v>
      </c>
      <c r="J51" s="3" t="s">
        <v>724</v>
      </c>
      <c r="K51" s="3" t="s">
        <v>725</v>
      </c>
      <c r="L51" s="3" t="s">
        <v>435</v>
      </c>
      <c r="M51" s="3" t="s">
        <v>436</v>
      </c>
      <c r="N51" s="3" t="s">
        <v>437</v>
      </c>
      <c r="O51" s="3" t="s">
        <v>438</v>
      </c>
      <c r="P51" s="3" t="s">
        <v>439</v>
      </c>
    </row>
    <row r="52" spans="1:31" x14ac:dyDescent="0.25">
      <c r="A52" s="96" t="s">
        <v>520</v>
      </c>
      <c r="B52" s="9">
        <v>0</v>
      </c>
      <c r="C52" s="9" t="s">
        <v>490</v>
      </c>
    </row>
    <row r="53" spans="1:31" ht="30" x14ac:dyDescent="0.25">
      <c r="A53" s="82" t="s">
        <v>521</v>
      </c>
      <c r="B53" s="72">
        <v>80</v>
      </c>
      <c r="C53" s="72" t="s">
        <v>490</v>
      </c>
      <c r="D53" s="8" t="s">
        <v>522</v>
      </c>
      <c r="E53" s="3" t="s">
        <v>523</v>
      </c>
    </row>
    <row r="54" spans="1:31" x14ac:dyDescent="0.25">
      <c r="A54" s="96" t="s">
        <v>687</v>
      </c>
      <c r="B54" s="9">
        <v>0</v>
      </c>
      <c r="C54" s="9" t="s">
        <v>688</v>
      </c>
    </row>
    <row r="55" spans="1:31" x14ac:dyDescent="0.25">
      <c r="A55" s="96" t="s">
        <v>733</v>
      </c>
      <c r="B55" s="9">
        <v>0</v>
      </c>
      <c r="C55" s="9" t="s">
        <v>738</v>
      </c>
      <c r="D55" s="3" t="s">
        <v>729</v>
      </c>
    </row>
    <row r="56" spans="1:31" ht="37.5" x14ac:dyDescent="0.25">
      <c r="A56" s="82" t="s">
        <v>734</v>
      </c>
      <c r="B56" s="72">
        <v>80</v>
      </c>
      <c r="C56" s="72" t="s">
        <v>738</v>
      </c>
      <c r="D56" s="8" t="s">
        <v>722</v>
      </c>
      <c r="E56" s="3" t="s">
        <v>723</v>
      </c>
      <c r="F56" s="3" t="s">
        <v>724</v>
      </c>
      <c r="G56" s="3" t="s">
        <v>725</v>
      </c>
      <c r="H56" s="8" t="s">
        <v>726</v>
      </c>
      <c r="I56" s="3" t="s">
        <v>472</v>
      </c>
      <c r="J56" s="3" t="s">
        <v>467</v>
      </c>
      <c r="K56" s="3" t="s">
        <v>468</v>
      </c>
      <c r="L56" s="3" t="s">
        <v>469</v>
      </c>
      <c r="M56" s="3" t="s">
        <v>470</v>
      </c>
      <c r="N56" s="3" t="s">
        <v>471</v>
      </c>
      <c r="O56" s="3" t="s">
        <v>473</v>
      </c>
      <c r="P56" s="3" t="s">
        <v>474</v>
      </c>
      <c r="Q56" s="3" t="s">
        <v>475</v>
      </c>
      <c r="R56" s="3" t="s">
        <v>476</v>
      </c>
      <c r="S56" s="3" t="s">
        <v>727</v>
      </c>
      <c r="T56" s="3" t="s">
        <v>728</v>
      </c>
      <c r="U56" s="3" t="s">
        <v>428</v>
      </c>
      <c r="V56" s="3" t="s">
        <v>429</v>
      </c>
      <c r="W56" s="3" t="s">
        <v>462</v>
      </c>
      <c r="X56" s="3" t="s">
        <v>463</v>
      </c>
      <c r="Y56" s="3" t="s">
        <v>464</v>
      </c>
      <c r="Z56" s="3" t="s">
        <v>465</v>
      </c>
      <c r="AA56" s="3" t="s">
        <v>583</v>
      </c>
      <c r="AB56" s="3" t="s">
        <v>584</v>
      </c>
      <c r="AC56" s="3" t="s">
        <v>582</v>
      </c>
      <c r="AD56" s="3" t="s">
        <v>585</v>
      </c>
      <c r="AE56" s="3" t="s">
        <v>586</v>
      </c>
    </row>
    <row r="57" spans="1:31" x14ac:dyDescent="0.25">
      <c r="A57" s="96" t="s">
        <v>735</v>
      </c>
      <c r="B57" s="9">
        <v>0</v>
      </c>
      <c r="C57" s="9">
        <v>20</v>
      </c>
      <c r="D57" s="3" t="s">
        <v>729</v>
      </c>
    </row>
    <row r="58" spans="1:31" x14ac:dyDescent="0.25">
      <c r="A58" s="82" t="s">
        <v>736</v>
      </c>
      <c r="B58" s="72">
        <v>80</v>
      </c>
      <c r="C58" s="72">
        <v>20</v>
      </c>
      <c r="D58" s="3" t="s">
        <v>739</v>
      </c>
      <c r="E58" s="3" t="s">
        <v>740</v>
      </c>
      <c r="F58" s="3" t="s">
        <v>741</v>
      </c>
      <c r="G58" s="3" t="s">
        <v>742</v>
      </c>
      <c r="H58" s="3" t="s">
        <v>743</v>
      </c>
      <c r="I58" s="3" t="s">
        <v>744</v>
      </c>
      <c r="J58" s="3" t="s">
        <v>745</v>
      </c>
      <c r="K58" s="3" t="s">
        <v>746</v>
      </c>
      <c r="L58" s="3" t="s">
        <v>752</v>
      </c>
      <c r="M58" s="3" t="s">
        <v>753</v>
      </c>
      <c r="N58" s="3" t="s">
        <v>754</v>
      </c>
      <c r="O58" s="3" t="s">
        <v>755</v>
      </c>
    </row>
    <row r="59" spans="1:31" x14ac:dyDescent="0.25">
      <c r="A59" s="96" t="s">
        <v>737</v>
      </c>
      <c r="B59" s="9">
        <v>0</v>
      </c>
      <c r="C59" s="9">
        <v>21</v>
      </c>
    </row>
    <row r="60" spans="1:31" x14ac:dyDescent="0.25">
      <c r="A60" s="96" t="s">
        <v>747</v>
      </c>
      <c r="B60" s="9">
        <v>0</v>
      </c>
      <c r="C60" s="9">
        <v>22</v>
      </c>
    </row>
    <row r="61" spans="1:31" x14ac:dyDescent="0.25">
      <c r="A61" s="96" t="s">
        <v>921</v>
      </c>
      <c r="B61" s="9">
        <v>0</v>
      </c>
      <c r="C61" s="9">
        <v>23</v>
      </c>
      <c r="D61" s="3" t="s">
        <v>871</v>
      </c>
      <c r="E61" s="3" t="s">
        <v>872</v>
      </c>
      <c r="F61" s="3" t="s">
        <v>873</v>
      </c>
    </row>
    <row r="62" spans="1:31" x14ac:dyDescent="0.25">
      <c r="A62" s="96" t="s">
        <v>922</v>
      </c>
      <c r="B62" s="9">
        <v>0</v>
      </c>
      <c r="C62" s="9">
        <v>24</v>
      </c>
      <c r="D62" s="3" t="s">
        <v>871</v>
      </c>
      <c r="E62" s="3" t="s">
        <v>872</v>
      </c>
      <c r="F62" s="3" t="s">
        <v>873</v>
      </c>
      <c r="G62" s="3" t="s">
        <v>855</v>
      </c>
      <c r="H62" s="3" t="s">
        <v>856</v>
      </c>
      <c r="I62" s="3" t="s">
        <v>857</v>
      </c>
      <c r="J62" s="3" t="s">
        <v>858</v>
      </c>
      <c r="K62" s="3" t="s">
        <v>859</v>
      </c>
      <c r="L62" s="3" t="s">
        <v>860</v>
      </c>
      <c r="M62" s="3" t="s">
        <v>861</v>
      </c>
      <c r="N62" s="3" t="s">
        <v>862</v>
      </c>
      <c r="O62" s="3" t="s">
        <v>863</v>
      </c>
      <c r="P62" s="3" t="s">
        <v>864</v>
      </c>
      <c r="Q62" s="3" t="s">
        <v>865</v>
      </c>
      <c r="R62" s="3" t="s">
        <v>866</v>
      </c>
    </row>
    <row r="63" spans="1:31" x14ac:dyDescent="0.25">
      <c r="A63" s="96" t="s">
        <v>923</v>
      </c>
      <c r="B63" s="9">
        <v>0</v>
      </c>
      <c r="C63" s="9">
        <f>C62+1</f>
        <v>25</v>
      </c>
      <c r="D63" s="3" t="s">
        <v>855</v>
      </c>
      <c r="E63" s="3" t="s">
        <v>856</v>
      </c>
      <c r="F63" s="3" t="s">
        <v>857</v>
      </c>
      <c r="G63" s="3" t="s">
        <v>858</v>
      </c>
      <c r="H63" s="3" t="s">
        <v>859</v>
      </c>
      <c r="I63" s="3" t="s">
        <v>860</v>
      </c>
      <c r="J63" s="3" t="s">
        <v>861</v>
      </c>
      <c r="K63" s="3" t="s">
        <v>862</v>
      </c>
      <c r="L63" s="3" t="s">
        <v>863</v>
      </c>
      <c r="M63" s="3" t="s">
        <v>864</v>
      </c>
      <c r="N63" s="3" t="s">
        <v>865</v>
      </c>
      <c r="O63" s="3" t="s">
        <v>866</v>
      </c>
      <c r="P63" s="3" t="s">
        <v>867</v>
      </c>
      <c r="Q63" s="3" t="s">
        <v>868</v>
      </c>
      <c r="R63" s="3" t="s">
        <v>869</v>
      </c>
      <c r="S63" s="3" t="s">
        <v>870</v>
      </c>
    </row>
    <row r="64" spans="1:31" ht="30" x14ac:dyDescent="0.25">
      <c r="A64" s="96" t="s">
        <v>924</v>
      </c>
      <c r="B64" s="9">
        <v>0</v>
      </c>
      <c r="C64" s="9">
        <f t="shared" ref="C64:C65" si="0">C63+1</f>
        <v>26</v>
      </c>
      <c r="D64" s="3" t="s">
        <v>855</v>
      </c>
      <c r="E64" s="3" t="s">
        <v>856</v>
      </c>
      <c r="F64" s="3" t="s">
        <v>857</v>
      </c>
      <c r="G64" s="3" t="s">
        <v>858</v>
      </c>
      <c r="H64" s="3" t="s">
        <v>859</v>
      </c>
      <c r="I64" s="3" t="s">
        <v>860</v>
      </c>
      <c r="J64" s="3" t="s">
        <v>861</v>
      </c>
      <c r="K64" s="3" t="s">
        <v>862</v>
      </c>
      <c r="L64" s="3" t="s">
        <v>863</v>
      </c>
      <c r="M64" s="3" t="s">
        <v>864</v>
      </c>
      <c r="N64" s="3" t="s">
        <v>865</v>
      </c>
      <c r="O64" s="3" t="s">
        <v>866</v>
      </c>
      <c r="P64" s="8" t="s">
        <v>29</v>
      </c>
    </row>
    <row r="65" spans="1:5" x14ac:dyDescent="0.25">
      <c r="A65" s="96" t="s">
        <v>925</v>
      </c>
      <c r="B65" s="9">
        <v>0</v>
      </c>
      <c r="C65" s="9">
        <f t="shared" si="0"/>
        <v>27</v>
      </c>
      <c r="D65" s="3" t="s">
        <v>872</v>
      </c>
      <c r="E65" s="3" t="s">
        <v>873</v>
      </c>
    </row>
    <row r="66" spans="1:5" ht="30" x14ac:dyDescent="0.25">
      <c r="A66" s="91" t="s">
        <v>940</v>
      </c>
      <c r="B66" s="9">
        <v>0</v>
      </c>
      <c r="C66" s="9">
        <v>28</v>
      </c>
      <c r="D66" s="8" t="s">
        <v>61</v>
      </c>
    </row>
  </sheetData>
  <mergeCells count="1">
    <mergeCell ref="D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69B8-5105-4CE4-8DB7-D26C6CD91A4A}">
  <dimension ref="B3:AC7"/>
  <sheetViews>
    <sheetView workbookViewId="0">
      <selection activeCell="M7" sqref="M7"/>
    </sheetView>
  </sheetViews>
  <sheetFormatPr defaultRowHeight="15" x14ac:dyDescent="0.25"/>
  <sheetData>
    <row r="3" spans="2:29" x14ac:dyDescent="0.25">
      <c r="B3">
        <v>17</v>
      </c>
      <c r="C3" t="s">
        <v>397</v>
      </c>
      <c r="D3" t="s">
        <v>398</v>
      </c>
      <c r="E3" t="s">
        <v>399</v>
      </c>
      <c r="F3" t="s">
        <v>400</v>
      </c>
      <c r="G3" t="s">
        <v>401</v>
      </c>
      <c r="H3" t="s">
        <v>398</v>
      </c>
      <c r="I3" t="s">
        <v>398</v>
      </c>
      <c r="J3" t="s">
        <v>398</v>
      </c>
      <c r="K3" t="s">
        <v>402</v>
      </c>
      <c r="L3" t="s">
        <v>403</v>
      </c>
      <c r="M3" t="s">
        <v>404</v>
      </c>
      <c r="N3" t="s">
        <v>398</v>
      </c>
      <c r="O3" t="s">
        <v>400</v>
      </c>
      <c r="P3" t="s">
        <v>398</v>
      </c>
      <c r="Q3" t="s">
        <v>405</v>
      </c>
      <c r="R3" t="s">
        <v>406</v>
      </c>
      <c r="S3" t="s">
        <v>407</v>
      </c>
    </row>
    <row r="4" spans="2:29" x14ac:dyDescent="0.25">
      <c r="B4">
        <v>17</v>
      </c>
      <c r="C4" t="s">
        <v>397</v>
      </c>
      <c r="D4" t="s">
        <v>398</v>
      </c>
      <c r="E4" t="s">
        <v>399</v>
      </c>
      <c r="F4" t="s">
        <v>400</v>
      </c>
      <c r="G4" t="s">
        <v>401</v>
      </c>
      <c r="H4" t="s">
        <v>398</v>
      </c>
      <c r="I4" t="s">
        <v>398</v>
      </c>
      <c r="J4" t="s">
        <v>398</v>
      </c>
      <c r="K4" t="s">
        <v>402</v>
      </c>
      <c r="L4" t="s">
        <v>403</v>
      </c>
      <c r="M4" t="s">
        <v>404</v>
      </c>
      <c r="N4" t="s">
        <v>398</v>
      </c>
      <c r="O4" t="s">
        <v>400</v>
      </c>
      <c r="P4" t="s">
        <v>398</v>
      </c>
      <c r="Q4" t="s">
        <v>408</v>
      </c>
      <c r="R4" t="s">
        <v>409</v>
      </c>
      <c r="S4" t="s">
        <v>410</v>
      </c>
    </row>
    <row r="5" spans="2:29" x14ac:dyDescent="0.25">
      <c r="B5">
        <v>17</v>
      </c>
      <c r="C5" t="s">
        <v>397</v>
      </c>
      <c r="D5" t="s">
        <v>398</v>
      </c>
      <c r="E5" t="s">
        <v>399</v>
      </c>
      <c r="F5" t="s">
        <v>400</v>
      </c>
      <c r="G5" t="s">
        <v>401</v>
      </c>
      <c r="H5" t="s">
        <v>398</v>
      </c>
      <c r="I5" t="s">
        <v>398</v>
      </c>
      <c r="J5" t="s">
        <v>398</v>
      </c>
      <c r="K5" t="s">
        <v>402</v>
      </c>
      <c r="L5" t="s">
        <v>403</v>
      </c>
      <c r="M5" t="s">
        <v>404</v>
      </c>
      <c r="N5" t="s">
        <v>398</v>
      </c>
      <c r="O5" t="s">
        <v>400</v>
      </c>
      <c r="P5" t="s">
        <v>398</v>
      </c>
      <c r="Q5" t="s">
        <v>411</v>
      </c>
      <c r="R5" t="s">
        <v>412</v>
      </c>
      <c r="S5" t="s">
        <v>410</v>
      </c>
    </row>
    <row r="6" spans="2:29" x14ac:dyDescent="0.25">
      <c r="B6">
        <v>27</v>
      </c>
      <c r="C6" t="s">
        <v>421</v>
      </c>
      <c r="D6" t="s">
        <v>398</v>
      </c>
      <c r="E6" t="s">
        <v>399</v>
      </c>
      <c r="F6" t="s">
        <v>400</v>
      </c>
      <c r="G6" t="s">
        <v>401</v>
      </c>
      <c r="H6" t="s">
        <v>398</v>
      </c>
      <c r="I6" t="s">
        <v>398</v>
      </c>
      <c r="J6" t="s">
        <v>398</v>
      </c>
      <c r="K6" t="s">
        <v>402</v>
      </c>
      <c r="L6" t="s">
        <v>403</v>
      </c>
      <c r="M6" t="s">
        <v>404</v>
      </c>
      <c r="N6" t="s">
        <v>398</v>
      </c>
      <c r="O6" t="s">
        <v>408</v>
      </c>
      <c r="P6" t="s">
        <v>398</v>
      </c>
      <c r="Q6" t="s">
        <v>413</v>
      </c>
      <c r="R6" t="s">
        <v>414</v>
      </c>
      <c r="S6" t="s">
        <v>415</v>
      </c>
      <c r="T6" t="s">
        <v>416</v>
      </c>
      <c r="U6" t="s">
        <v>417</v>
      </c>
      <c r="V6" t="s">
        <v>418</v>
      </c>
      <c r="W6" t="s">
        <v>419</v>
      </c>
      <c r="X6" t="s">
        <v>398</v>
      </c>
      <c r="Y6" t="s">
        <v>420</v>
      </c>
      <c r="Z6" t="s">
        <v>420</v>
      </c>
      <c r="AA6" t="s">
        <v>420</v>
      </c>
      <c r="AB6" t="s">
        <v>420</v>
      </c>
      <c r="AC6" t="s">
        <v>420</v>
      </c>
    </row>
    <row r="7" spans="2:29" x14ac:dyDescent="0.25">
      <c r="B7">
        <v>17</v>
      </c>
      <c r="C7" t="s">
        <v>397</v>
      </c>
      <c r="D7" t="s">
        <v>398</v>
      </c>
      <c r="E7" t="s">
        <v>399</v>
      </c>
      <c r="F7" t="s">
        <v>400</v>
      </c>
      <c r="G7" t="s">
        <v>401</v>
      </c>
      <c r="H7" t="s">
        <v>398</v>
      </c>
      <c r="I7" t="s">
        <v>398</v>
      </c>
      <c r="J7" t="s">
        <v>398</v>
      </c>
      <c r="K7" t="s">
        <v>402</v>
      </c>
      <c r="L7" t="s">
        <v>400</v>
      </c>
      <c r="M7" t="s">
        <v>403</v>
      </c>
      <c r="N7" t="s">
        <v>398</v>
      </c>
      <c r="O7" t="s">
        <v>400</v>
      </c>
      <c r="P7" t="s">
        <v>398</v>
      </c>
      <c r="Q7" t="s">
        <v>524</v>
      </c>
      <c r="R7" t="s">
        <v>525</v>
      </c>
      <c r="S7" t="s">
        <v>526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P28"/>
  <sheetViews>
    <sheetView zoomScale="82" zoomScaleNormal="80" workbookViewId="0">
      <pane xSplit="1" ySplit="2" topLeftCell="B3" activePane="bottomRight" state="frozen"/>
      <selection pane="topRight" activeCell="B1" sqref="B1"/>
      <selection pane="bottomLeft" activeCell="A3" sqref="A3"/>
      <selection pane="bottomRight" activeCell="L28" sqref="L28"/>
    </sheetView>
  </sheetViews>
  <sheetFormatPr defaultColWidth="9.28515625" defaultRowHeight="15" x14ac:dyDescent="0.25"/>
  <cols>
    <col min="1" max="1" width="35.7109375" style="3" customWidth="1"/>
    <col min="2" max="2" width="19" style="3" customWidth="1"/>
    <col min="3" max="3" width="17.28515625" style="3" bestFit="1" customWidth="1"/>
    <col min="4" max="4" width="35.28515625" style="3" bestFit="1" customWidth="1"/>
    <col min="5" max="5" width="16" style="3" customWidth="1"/>
    <col min="6" max="6" width="8.7109375" style="3" customWidth="1"/>
    <col min="7" max="7" width="18.5703125" style="3" customWidth="1"/>
    <col min="8" max="8" width="17.5703125" style="3" customWidth="1"/>
    <col min="9" max="9" width="5.28515625" style="3" bestFit="1" customWidth="1"/>
    <col min="10" max="10" width="49.28515625" style="3" bestFit="1" customWidth="1"/>
    <col min="11" max="12" width="54.28515625" style="3" bestFit="1" customWidth="1"/>
    <col min="13" max="13" width="54.28515625" style="3" customWidth="1"/>
    <col min="14" max="17" width="22.42578125" style="1" customWidth="1"/>
    <col min="18" max="18" width="20.7109375" style="1" customWidth="1"/>
    <col min="19" max="1030" width="9.28515625" style="3"/>
  </cols>
  <sheetData>
    <row r="1" spans="1:18" x14ac:dyDescent="0.25">
      <c r="A1" s="10" t="s">
        <v>79</v>
      </c>
      <c r="B1" s="5" t="s">
        <v>80</v>
      </c>
      <c r="C1" s="5" t="s">
        <v>81</v>
      </c>
      <c r="D1" s="2" t="s">
        <v>82</v>
      </c>
      <c r="E1" s="11" t="s">
        <v>83</v>
      </c>
      <c r="F1" s="12" t="s">
        <v>84</v>
      </c>
      <c r="G1" s="12" t="s">
        <v>85</v>
      </c>
      <c r="H1" s="13" t="s">
        <v>86</v>
      </c>
      <c r="I1" s="14" t="s">
        <v>87</v>
      </c>
      <c r="N1" s="1" t="s">
        <v>347</v>
      </c>
      <c r="O1" s="1" t="s">
        <v>353</v>
      </c>
      <c r="P1" s="1" t="s">
        <v>348</v>
      </c>
      <c r="Q1" s="1" t="s">
        <v>351</v>
      </c>
    </row>
    <row r="2" spans="1:18" x14ac:dyDescent="0.25">
      <c r="A2" s="106" t="s">
        <v>88</v>
      </c>
      <c r="B2" s="106"/>
      <c r="C2" s="106"/>
      <c r="D2" s="106"/>
      <c r="E2" s="106"/>
      <c r="F2" s="106"/>
      <c r="G2" s="106"/>
      <c r="H2" s="106"/>
      <c r="I2" s="106"/>
      <c r="J2" s="3" t="s">
        <v>89</v>
      </c>
      <c r="K2" s="3" t="s">
        <v>90</v>
      </c>
      <c r="L2" s="3" t="s">
        <v>306</v>
      </c>
      <c r="M2" s="3" t="s">
        <v>222</v>
      </c>
      <c r="N2" s="3"/>
      <c r="O2" s="3"/>
      <c r="P2" s="3"/>
      <c r="Q2" s="3"/>
      <c r="R2" s="3" t="s">
        <v>342</v>
      </c>
    </row>
    <row r="3" spans="1:18" ht="30" x14ac:dyDescent="0.25">
      <c r="A3" s="15" t="s">
        <v>91</v>
      </c>
      <c r="B3" s="3">
        <v>0</v>
      </c>
      <c r="C3" s="3">
        <v>0</v>
      </c>
      <c r="D3" s="3" t="s">
        <v>92</v>
      </c>
      <c r="E3" s="67" t="s">
        <v>513</v>
      </c>
      <c r="F3" s="3">
        <v>0</v>
      </c>
      <c r="G3" s="67" t="s">
        <v>513</v>
      </c>
      <c r="I3" s="3" t="s">
        <v>93</v>
      </c>
      <c r="K3" s="15"/>
      <c r="N3" s="34" t="s">
        <v>366</v>
      </c>
      <c r="O3" s="34" t="s">
        <v>371</v>
      </c>
      <c r="P3" s="34" t="s">
        <v>372</v>
      </c>
      <c r="Q3" s="1" t="s">
        <v>352</v>
      </c>
      <c r="R3" s="17" t="s">
        <v>94</v>
      </c>
    </row>
    <row r="4" spans="1:18" x14ac:dyDescent="0.25">
      <c r="A4" s="15" t="s">
        <v>95</v>
      </c>
      <c r="B4" s="3">
        <v>0</v>
      </c>
      <c r="C4" s="3">
        <v>1</v>
      </c>
      <c r="D4" s="3" t="s">
        <v>92</v>
      </c>
      <c r="E4" s="67" t="s">
        <v>513</v>
      </c>
      <c r="F4" s="3">
        <v>0</v>
      </c>
      <c r="G4" s="67" t="s">
        <v>513</v>
      </c>
      <c r="I4" s="3" t="s">
        <v>93</v>
      </c>
      <c r="K4" s="15"/>
      <c r="N4" s="1" t="s">
        <v>116</v>
      </c>
      <c r="O4" s="1" t="s">
        <v>368</v>
      </c>
      <c r="P4" s="1" t="s">
        <v>367</v>
      </c>
      <c r="Q4" s="1" t="s">
        <v>352</v>
      </c>
      <c r="R4" s="17" t="s">
        <v>94</v>
      </c>
    </row>
    <row r="5" spans="1:18" ht="30" x14ac:dyDescent="0.25">
      <c r="A5" s="15" t="s">
        <v>96</v>
      </c>
      <c r="B5" s="3">
        <v>0</v>
      </c>
      <c r="C5" s="3">
        <v>2</v>
      </c>
      <c r="D5" s="3" t="s">
        <v>97</v>
      </c>
      <c r="I5" s="3" t="s">
        <v>93</v>
      </c>
      <c r="K5" s="15"/>
      <c r="N5" s="34" t="s">
        <v>370</v>
      </c>
      <c r="O5" s="1" t="s">
        <v>369</v>
      </c>
      <c r="P5" s="34" t="s">
        <v>373</v>
      </c>
      <c r="Q5" s="1" t="s">
        <v>352</v>
      </c>
      <c r="R5" s="17" t="s">
        <v>94</v>
      </c>
    </row>
    <row r="6" spans="1:18" ht="30" x14ac:dyDescent="0.25">
      <c r="A6" s="15" t="s">
        <v>98</v>
      </c>
      <c r="B6" s="3">
        <v>0</v>
      </c>
      <c r="C6" s="3">
        <v>3</v>
      </c>
      <c r="D6" s="3" t="s">
        <v>99</v>
      </c>
      <c r="F6" s="3">
        <v>0</v>
      </c>
      <c r="G6" s="16">
        <v>4294967296</v>
      </c>
      <c r="I6" s="3" t="s">
        <v>100</v>
      </c>
      <c r="K6" s="15"/>
      <c r="N6" s="34" t="s">
        <v>366</v>
      </c>
      <c r="O6" s="34" t="s">
        <v>374</v>
      </c>
      <c r="P6" s="34" t="s">
        <v>373</v>
      </c>
      <c r="Q6" s="1" t="s">
        <v>352</v>
      </c>
      <c r="R6" s="17" t="s">
        <v>94</v>
      </c>
    </row>
    <row r="7" spans="1:18" x14ac:dyDescent="0.25">
      <c r="A7" s="15" t="s">
        <v>101</v>
      </c>
      <c r="B7" s="3">
        <v>0</v>
      </c>
      <c r="C7" s="3">
        <v>4</v>
      </c>
      <c r="D7" s="3" t="s">
        <v>102</v>
      </c>
      <c r="I7" s="3" t="s">
        <v>103</v>
      </c>
      <c r="K7" s="15"/>
      <c r="L7" s="3" t="s">
        <v>343</v>
      </c>
    </row>
    <row r="8" spans="1:18" ht="180" x14ac:dyDescent="0.25">
      <c r="A8" s="15" t="s">
        <v>104</v>
      </c>
      <c r="B8" s="3">
        <v>0</v>
      </c>
      <c r="C8" s="3">
        <v>5</v>
      </c>
      <c r="D8" s="3" t="s">
        <v>105</v>
      </c>
      <c r="I8" s="3" t="s">
        <v>93</v>
      </c>
      <c r="J8" s="35" t="s">
        <v>106</v>
      </c>
      <c r="K8" s="36" t="s">
        <v>107</v>
      </c>
      <c r="L8" s="35" t="s">
        <v>1011</v>
      </c>
      <c r="M8" s="35"/>
    </row>
    <row r="9" spans="1:18" ht="285" x14ac:dyDescent="0.25">
      <c r="A9" s="15" t="s">
        <v>108</v>
      </c>
      <c r="B9" s="3">
        <v>0</v>
      </c>
      <c r="C9" s="3">
        <v>6</v>
      </c>
      <c r="D9" s="3" t="s">
        <v>109</v>
      </c>
      <c r="I9" s="3" t="s">
        <v>93</v>
      </c>
      <c r="J9" s="18" t="s">
        <v>110</v>
      </c>
      <c r="K9" s="19" t="s">
        <v>111</v>
      </c>
      <c r="L9" s="18" t="s">
        <v>686</v>
      </c>
      <c r="M9" s="18" t="s">
        <v>379</v>
      </c>
      <c r="N9" s="1" t="s">
        <v>362</v>
      </c>
      <c r="O9" s="34" t="s">
        <v>365</v>
      </c>
      <c r="P9" s="34" t="s">
        <v>363</v>
      </c>
      <c r="Q9" s="34" t="s">
        <v>364</v>
      </c>
      <c r="R9" s="17" t="s">
        <v>362</v>
      </c>
    </row>
    <row r="10" spans="1:18" x14ac:dyDescent="0.25">
      <c r="A10" s="15" t="s">
        <v>112</v>
      </c>
      <c r="B10" s="3">
        <v>0</v>
      </c>
      <c r="C10" s="3">
        <v>7</v>
      </c>
      <c r="D10" s="3" t="s">
        <v>92</v>
      </c>
      <c r="I10" s="3" t="s">
        <v>103</v>
      </c>
      <c r="J10" s="18"/>
      <c r="K10" s="18"/>
      <c r="L10" s="18" t="s">
        <v>343</v>
      </c>
      <c r="M10" s="41" t="s">
        <v>483</v>
      </c>
    </row>
    <row r="11" spans="1:18" x14ac:dyDescent="0.25">
      <c r="A11" s="3" t="s">
        <v>113</v>
      </c>
      <c r="B11" s="3">
        <v>0</v>
      </c>
      <c r="C11" s="3">
        <v>8</v>
      </c>
      <c r="D11" s="3" t="s">
        <v>92</v>
      </c>
      <c r="I11" s="3" t="s">
        <v>93</v>
      </c>
      <c r="J11" s="18"/>
      <c r="K11" s="18" t="s">
        <v>114</v>
      </c>
      <c r="L11" s="18" t="s">
        <v>343</v>
      </c>
      <c r="M11" s="18"/>
    </row>
    <row r="12" spans="1:18" x14ac:dyDescent="0.25">
      <c r="A12" s="15" t="s">
        <v>321</v>
      </c>
      <c r="B12" s="3">
        <v>0</v>
      </c>
      <c r="C12" s="3">
        <v>9</v>
      </c>
      <c r="D12" s="3" t="s">
        <v>99</v>
      </c>
      <c r="I12" s="3" t="s">
        <v>100</v>
      </c>
      <c r="J12" s="18"/>
      <c r="K12" s="19" t="s">
        <v>115</v>
      </c>
      <c r="L12" s="18" t="s">
        <v>344</v>
      </c>
      <c r="M12" s="107" t="s">
        <v>481</v>
      </c>
      <c r="R12" s="17" t="s">
        <v>116</v>
      </c>
    </row>
    <row r="13" spans="1:18" x14ac:dyDescent="0.25">
      <c r="A13" s="15" t="s">
        <v>322</v>
      </c>
      <c r="B13" s="3">
        <v>0</v>
      </c>
      <c r="C13" s="3" t="s">
        <v>55</v>
      </c>
      <c r="D13" s="3" t="s">
        <v>99</v>
      </c>
      <c r="I13" s="3" t="s">
        <v>100</v>
      </c>
      <c r="J13" s="18"/>
      <c r="K13" s="19" t="s">
        <v>115</v>
      </c>
      <c r="L13" s="18" t="s">
        <v>344</v>
      </c>
      <c r="M13" s="107"/>
      <c r="R13" s="17" t="s">
        <v>116</v>
      </c>
    </row>
    <row r="14" spans="1:18" x14ac:dyDescent="0.25">
      <c r="A14" s="15" t="s">
        <v>117</v>
      </c>
      <c r="B14" s="3">
        <v>0</v>
      </c>
      <c r="C14" s="3" t="s">
        <v>57</v>
      </c>
      <c r="D14" s="3" t="s">
        <v>99</v>
      </c>
      <c r="I14" s="3" t="s">
        <v>100</v>
      </c>
      <c r="J14" s="18"/>
      <c r="K14" s="19" t="s">
        <v>118</v>
      </c>
      <c r="L14" s="18" t="s">
        <v>343</v>
      </c>
      <c r="M14" s="107"/>
      <c r="R14" s="17" t="s">
        <v>116</v>
      </c>
    </row>
    <row r="15" spans="1:18" x14ac:dyDescent="0.25">
      <c r="A15" s="15" t="s">
        <v>119</v>
      </c>
      <c r="B15" s="3">
        <v>0</v>
      </c>
      <c r="C15" s="3" t="s">
        <v>58</v>
      </c>
      <c r="D15" s="3" t="s">
        <v>99</v>
      </c>
      <c r="I15" s="3" t="s">
        <v>100</v>
      </c>
      <c r="J15" s="18"/>
      <c r="K15" s="19" t="s">
        <v>118</v>
      </c>
      <c r="L15" s="18" t="s">
        <v>343</v>
      </c>
      <c r="M15" s="107"/>
      <c r="R15" s="17" t="s">
        <v>116</v>
      </c>
    </row>
    <row r="16" spans="1:18" x14ac:dyDescent="0.25">
      <c r="A16" s="15" t="s">
        <v>120</v>
      </c>
      <c r="B16" s="3">
        <v>0</v>
      </c>
      <c r="C16" s="3" t="s">
        <v>60</v>
      </c>
      <c r="D16" s="3" t="s">
        <v>99</v>
      </c>
      <c r="I16" s="3" t="s">
        <v>100</v>
      </c>
      <c r="J16" s="18"/>
      <c r="K16" s="19" t="s">
        <v>121</v>
      </c>
      <c r="L16" s="18" t="s">
        <v>343</v>
      </c>
      <c r="M16" s="107"/>
      <c r="R16" s="17" t="s">
        <v>116</v>
      </c>
    </row>
    <row r="17" spans="1:25" x14ac:dyDescent="0.25">
      <c r="A17" s="15" t="s">
        <v>122</v>
      </c>
      <c r="B17" s="3">
        <v>0</v>
      </c>
      <c r="C17" s="3" t="s">
        <v>63</v>
      </c>
      <c r="D17" s="3" t="s">
        <v>99</v>
      </c>
      <c r="I17" s="3" t="s">
        <v>100</v>
      </c>
      <c r="J17" s="18"/>
      <c r="K17" s="19" t="s">
        <v>121</v>
      </c>
      <c r="L17" s="18" t="s">
        <v>343</v>
      </c>
      <c r="M17" s="107"/>
      <c r="R17" s="17" t="s">
        <v>116</v>
      </c>
    </row>
    <row r="18" spans="1:25" x14ac:dyDescent="0.25">
      <c r="A18" s="15" t="s">
        <v>123</v>
      </c>
      <c r="B18" s="3">
        <v>0</v>
      </c>
      <c r="C18" s="3" t="s">
        <v>65</v>
      </c>
      <c r="D18" s="3" t="s">
        <v>92</v>
      </c>
      <c r="I18" s="3" t="s">
        <v>93</v>
      </c>
      <c r="J18" s="18"/>
      <c r="K18" s="19" t="s">
        <v>124</v>
      </c>
      <c r="L18" s="18" t="s">
        <v>343</v>
      </c>
      <c r="M18" s="107"/>
      <c r="R18" s="17" t="s">
        <v>116</v>
      </c>
    </row>
    <row r="19" spans="1:25" x14ac:dyDescent="0.25">
      <c r="A19" s="15" t="s">
        <v>125</v>
      </c>
      <c r="B19" s="3">
        <v>0</v>
      </c>
      <c r="C19" s="3">
        <v>10</v>
      </c>
      <c r="D19" s="3" t="s">
        <v>92</v>
      </c>
      <c r="I19" s="3" t="s">
        <v>93</v>
      </c>
      <c r="J19" s="18"/>
      <c r="K19" s="18"/>
      <c r="L19" s="18" t="s">
        <v>343</v>
      </c>
      <c r="M19" s="107"/>
      <c r="R19" s="17" t="s">
        <v>116</v>
      </c>
    </row>
    <row r="20" spans="1:25" x14ac:dyDescent="0.25">
      <c r="A20" s="15" t="s">
        <v>126</v>
      </c>
      <c r="B20" s="3">
        <v>0</v>
      </c>
      <c r="C20" s="3">
        <v>11</v>
      </c>
      <c r="D20" s="3" t="s">
        <v>92</v>
      </c>
      <c r="I20" s="3" t="s">
        <v>93</v>
      </c>
      <c r="J20" s="18"/>
      <c r="K20" s="18"/>
      <c r="L20" s="18" t="s">
        <v>343</v>
      </c>
      <c r="M20" s="107"/>
      <c r="R20" s="17" t="s">
        <v>116</v>
      </c>
    </row>
    <row r="21" spans="1:25" x14ac:dyDescent="0.25">
      <c r="A21" s="15" t="s">
        <v>127</v>
      </c>
      <c r="B21" s="3">
        <v>0</v>
      </c>
      <c r="C21" s="3">
        <v>12</v>
      </c>
      <c r="D21" s="3" t="s">
        <v>128</v>
      </c>
      <c r="I21" s="3" t="s">
        <v>93</v>
      </c>
      <c r="J21" s="3" t="s">
        <v>129</v>
      </c>
      <c r="K21" s="18"/>
      <c r="L21" s="18" t="s">
        <v>343</v>
      </c>
      <c r="M21" s="107"/>
      <c r="R21" s="17" t="s">
        <v>116</v>
      </c>
    </row>
    <row r="22" spans="1:25" x14ac:dyDescent="0.25">
      <c r="A22" s="3" t="s">
        <v>130</v>
      </c>
      <c r="B22" s="3">
        <v>0</v>
      </c>
      <c r="C22" s="3">
        <v>13</v>
      </c>
      <c r="D22" s="3" t="s">
        <v>131</v>
      </c>
      <c r="I22" s="3" t="s">
        <v>93</v>
      </c>
      <c r="J22" s="3" t="s">
        <v>132</v>
      </c>
      <c r="K22" s="1"/>
      <c r="L22" s="18" t="s">
        <v>343</v>
      </c>
      <c r="M22" s="107"/>
      <c r="S22" s="1"/>
      <c r="T22" s="1"/>
      <c r="U22" s="1"/>
      <c r="V22" s="1"/>
      <c r="W22" s="1"/>
      <c r="X22" s="1"/>
      <c r="Y22" s="1"/>
    </row>
    <row r="23" spans="1:25" x14ac:dyDescent="0.25">
      <c r="A23" s="15" t="s">
        <v>133</v>
      </c>
      <c r="B23" s="3">
        <v>0</v>
      </c>
      <c r="C23" s="3">
        <v>14</v>
      </c>
      <c r="D23" s="3" t="s">
        <v>99</v>
      </c>
      <c r="I23" s="3" t="s">
        <v>93</v>
      </c>
      <c r="K23" s="1"/>
      <c r="L23" s="18" t="s">
        <v>343</v>
      </c>
      <c r="M23" s="107"/>
      <c r="R23" s="17" t="s">
        <v>116</v>
      </c>
      <c r="S23" s="1"/>
      <c r="T23" s="1"/>
      <c r="U23" s="1"/>
      <c r="V23" s="1"/>
      <c r="W23" s="1"/>
      <c r="X23" s="1"/>
      <c r="Y23" s="1"/>
    </row>
    <row r="24" spans="1:25" ht="120" x14ac:dyDescent="0.25">
      <c r="A24" s="15" t="s">
        <v>380</v>
      </c>
      <c r="B24" s="3">
        <v>0</v>
      </c>
      <c r="C24" s="3">
        <v>15</v>
      </c>
      <c r="D24" s="3" t="s">
        <v>99</v>
      </c>
      <c r="I24" s="3" t="s">
        <v>93</v>
      </c>
      <c r="J24" s="8" t="s">
        <v>760</v>
      </c>
      <c r="L24" s="8" t="s">
        <v>1013</v>
      </c>
      <c r="M24" s="108" t="s">
        <v>482</v>
      </c>
    </row>
    <row r="25" spans="1:25" ht="150" x14ac:dyDescent="0.25">
      <c r="A25" s="15" t="s">
        <v>381</v>
      </c>
      <c r="B25" s="3">
        <v>0</v>
      </c>
      <c r="C25" s="3">
        <v>16</v>
      </c>
      <c r="D25" s="3" t="s">
        <v>99</v>
      </c>
      <c r="I25" s="3" t="s">
        <v>93</v>
      </c>
      <c r="J25" s="8" t="s">
        <v>761</v>
      </c>
      <c r="L25" s="8" t="s">
        <v>1012</v>
      </c>
      <c r="M25" s="108"/>
    </row>
    <row r="26" spans="1:25" x14ac:dyDescent="0.25">
      <c r="A26" s="15" t="s">
        <v>882</v>
      </c>
      <c r="B26" s="3">
        <v>0</v>
      </c>
      <c r="C26" s="3">
        <v>17</v>
      </c>
      <c r="D26" s="3" t="s">
        <v>92</v>
      </c>
      <c r="E26" s="67" t="s">
        <v>513</v>
      </c>
      <c r="F26" s="3">
        <v>0</v>
      </c>
      <c r="G26" s="67" t="s">
        <v>513</v>
      </c>
      <c r="I26" s="3" t="s">
        <v>93</v>
      </c>
    </row>
    <row r="28" spans="1:25" x14ac:dyDescent="0.25">
      <c r="N28" s="3"/>
      <c r="O28" s="3"/>
      <c r="P28" s="3"/>
      <c r="Q28" s="3"/>
    </row>
  </sheetData>
  <mergeCells count="3">
    <mergeCell ref="A2:I2"/>
    <mergeCell ref="M12:M23"/>
    <mergeCell ref="M24:M25"/>
  </mergeCells>
  <pageMargins left="0.70833333333333304" right="0.70833333333333304" top="0.74791666666666701" bottom="0.7479166666666670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M94"/>
  <sheetViews>
    <sheetView zoomScale="63" zoomScaleNormal="80" workbookViewId="0">
      <pane xSplit="1" ySplit="4" topLeftCell="B93" activePane="bottomRight" state="frozen"/>
      <selection pane="topRight" activeCell="B1" sqref="B1"/>
      <selection pane="bottomLeft" activeCell="A3" sqref="A3"/>
      <selection pane="bottomRight" activeCell="A94" sqref="A94"/>
    </sheetView>
  </sheetViews>
  <sheetFormatPr defaultColWidth="9.28515625" defaultRowHeight="15" x14ac:dyDescent="0.25"/>
  <cols>
    <col min="1" max="1" width="60.7109375" style="1" customWidth="1"/>
    <col min="2" max="2" width="19.7109375" style="1" customWidth="1"/>
    <col min="3" max="3" width="19.42578125" style="1" customWidth="1"/>
    <col min="4" max="4" width="31.42578125" style="1" customWidth="1"/>
    <col min="5" max="5" width="10.28515625" style="1" customWidth="1"/>
    <col min="6" max="6" width="8.7109375" style="1" customWidth="1"/>
    <col min="7" max="7" width="12.7109375" style="1" customWidth="1"/>
    <col min="8" max="8" width="17.5703125" style="1" customWidth="1"/>
    <col min="9" max="9" width="4.7109375" style="1" customWidth="1"/>
    <col min="10" max="10" width="40.5703125" style="1" customWidth="1"/>
    <col min="11" max="14" width="22.42578125" style="1" customWidth="1"/>
    <col min="15" max="1027" width="9.28515625" style="1"/>
  </cols>
  <sheetData>
    <row r="1" spans="1:22" s="1" customFormat="1" x14ac:dyDescent="0.25">
      <c r="A1" s="104" t="s">
        <v>765</v>
      </c>
      <c r="B1" s="104"/>
      <c r="C1" s="104"/>
      <c r="D1" s="104"/>
      <c r="E1" s="104"/>
      <c r="F1" s="104"/>
      <c r="G1" s="104"/>
      <c r="H1" s="104"/>
      <c r="I1" s="104"/>
      <c r="J1" s="104"/>
      <c r="K1" s="3"/>
    </row>
    <row r="2" spans="1:22" s="1" customFormat="1" x14ac:dyDescent="0.25">
      <c r="A2" s="3" t="s">
        <v>875</v>
      </c>
      <c r="K2" s="3"/>
    </row>
    <row r="3" spans="1:22" x14ac:dyDescent="0.25">
      <c r="A3" s="10" t="s">
        <v>89</v>
      </c>
      <c r="B3" s="5" t="s">
        <v>80</v>
      </c>
      <c r="C3" s="5" t="s">
        <v>81</v>
      </c>
      <c r="D3" s="2" t="s">
        <v>82</v>
      </c>
      <c r="E3" s="11" t="s">
        <v>83</v>
      </c>
      <c r="F3" s="12" t="s">
        <v>84</v>
      </c>
      <c r="G3" s="12" t="s">
        <v>85</v>
      </c>
      <c r="H3" s="13" t="s">
        <v>86</v>
      </c>
      <c r="I3" s="14" t="s">
        <v>87</v>
      </c>
      <c r="J3" s="3" t="s">
        <v>134</v>
      </c>
      <c r="K3" s="1" t="s">
        <v>347</v>
      </c>
      <c r="L3" s="1" t="s">
        <v>353</v>
      </c>
      <c r="M3" s="1" t="s">
        <v>348</v>
      </c>
      <c r="N3" s="1" t="s">
        <v>351</v>
      </c>
    </row>
    <row r="4" spans="1:22" x14ac:dyDescent="0.25">
      <c r="A4" s="106" t="s">
        <v>135</v>
      </c>
      <c r="B4" s="106"/>
      <c r="C4" s="106"/>
      <c r="D4" s="106"/>
      <c r="E4" s="106"/>
      <c r="F4" s="106"/>
      <c r="G4" s="106"/>
      <c r="H4" s="106"/>
      <c r="I4" s="106"/>
      <c r="J4" s="106"/>
      <c r="K4" s="106"/>
      <c r="L4" s="106"/>
      <c r="M4" s="106"/>
      <c r="N4" s="106"/>
      <c r="O4" s="106"/>
      <c r="P4" s="106"/>
      <c r="Q4" s="106"/>
      <c r="R4" s="106"/>
      <c r="S4" s="106"/>
      <c r="T4" s="106"/>
      <c r="U4" s="106"/>
      <c r="V4" s="106"/>
    </row>
    <row r="5" spans="1:22"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2"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2"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2"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2"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row>
    <row r="10" spans="1:22"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row>
    <row r="11" spans="1:22"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row>
    <row r="12" spans="1:22"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2" x14ac:dyDescent="0.25">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2"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2"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2"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22"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22"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22"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22"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row>
    <row r="21" spans="1:22"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22"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22"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22"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22"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22"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22"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22"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22" x14ac:dyDescent="0.25">
      <c r="A29" s="3"/>
      <c r="B29" s="3"/>
      <c r="C29" s="3"/>
      <c r="D29" s="3"/>
      <c r="E29" s="3"/>
      <c r="F29" s="3"/>
      <c r="G29" s="3"/>
      <c r="H29" s="3"/>
      <c r="I29" s="3"/>
      <c r="J29" s="3"/>
    </row>
    <row r="30" spans="1:22" x14ac:dyDescent="0.25">
      <c r="A30" s="106" t="s">
        <v>138</v>
      </c>
      <c r="B30" s="106"/>
      <c r="C30" s="106"/>
      <c r="D30" s="106"/>
      <c r="E30" s="106"/>
      <c r="F30" s="106"/>
      <c r="G30" s="106"/>
      <c r="H30" s="106"/>
      <c r="I30" s="106"/>
      <c r="J30" s="106"/>
      <c r="K30" s="106"/>
      <c r="L30" s="106"/>
      <c r="M30" s="106"/>
      <c r="N30" s="106"/>
      <c r="O30" s="106"/>
      <c r="P30" s="106"/>
      <c r="Q30" s="106"/>
      <c r="R30" s="106"/>
      <c r="S30" s="106"/>
      <c r="T30" s="106"/>
      <c r="U30" s="106"/>
      <c r="V30" s="106"/>
    </row>
    <row r="31" spans="1:22" x14ac:dyDescent="0.25">
      <c r="A31" s="3" t="s">
        <v>136</v>
      </c>
      <c r="B31" s="3">
        <v>80</v>
      </c>
      <c r="C31" s="3">
        <v>0</v>
      </c>
      <c r="D31" s="3" t="s">
        <v>137</v>
      </c>
      <c r="E31" s="3"/>
      <c r="F31" s="3"/>
      <c r="G31" s="3"/>
      <c r="H31" s="3"/>
      <c r="I31" s="3" t="s">
        <v>103</v>
      </c>
      <c r="J31" s="3"/>
    </row>
    <row r="32" spans="1:22" x14ac:dyDescent="0.25">
      <c r="A32" s="15" t="s">
        <v>139</v>
      </c>
      <c r="B32" s="3">
        <v>80</v>
      </c>
      <c r="C32" s="3">
        <v>1</v>
      </c>
      <c r="D32" s="3" t="s">
        <v>140</v>
      </c>
      <c r="E32" s="3"/>
      <c r="F32" s="3">
        <v>0</v>
      </c>
      <c r="G32" s="3">
        <v>1</v>
      </c>
      <c r="H32" s="3"/>
      <c r="I32" s="3" t="s">
        <v>93</v>
      </c>
      <c r="J32" s="3" t="s">
        <v>141</v>
      </c>
    </row>
    <row r="33" spans="1:21" ht="71.25" x14ac:dyDescent="0.25">
      <c r="A33" s="15" t="s">
        <v>142</v>
      </c>
      <c r="B33" s="3">
        <v>80</v>
      </c>
      <c r="C33" s="3">
        <v>2</v>
      </c>
      <c r="D33" s="3" t="s">
        <v>143</v>
      </c>
      <c r="E33" s="3"/>
      <c r="F33" s="3">
        <v>0</v>
      </c>
      <c r="G33" s="3">
        <v>4</v>
      </c>
      <c r="H33" s="3"/>
      <c r="I33" s="3" t="s">
        <v>93</v>
      </c>
      <c r="J33" s="8" t="s">
        <v>144</v>
      </c>
      <c r="O33" s="1" t="s">
        <v>145</v>
      </c>
    </row>
    <row r="34" spans="1:21" x14ac:dyDescent="0.25">
      <c r="A34" s="15" t="s">
        <v>146</v>
      </c>
      <c r="B34" s="3">
        <v>80</v>
      </c>
      <c r="C34" s="3">
        <v>3</v>
      </c>
      <c r="D34" s="3" t="s">
        <v>147</v>
      </c>
      <c r="E34" s="3"/>
      <c r="F34" s="3"/>
      <c r="G34" s="3"/>
      <c r="H34" s="3"/>
      <c r="I34" s="3" t="s">
        <v>93</v>
      </c>
      <c r="J34" s="3"/>
    </row>
    <row r="35" spans="1:21" x14ac:dyDescent="0.25">
      <c r="A35" s="15" t="s">
        <v>148</v>
      </c>
      <c r="B35" s="3">
        <f t="shared" ref="B35:B43" si="0">B32</f>
        <v>80</v>
      </c>
      <c r="C35" s="3">
        <f t="shared" ref="C35:C40" si="1">C34+1</f>
        <v>4</v>
      </c>
      <c r="D35" s="3" t="s">
        <v>147</v>
      </c>
      <c r="E35" s="3"/>
      <c r="F35" s="3"/>
      <c r="G35" s="3"/>
      <c r="H35" s="3"/>
      <c r="I35" s="3" t="s">
        <v>93</v>
      </c>
      <c r="J35" s="3"/>
      <c r="K35" s="17" t="s">
        <v>349</v>
      </c>
      <c r="L35" s="17" t="s">
        <v>314</v>
      </c>
      <c r="M35" s="17" t="s">
        <v>350</v>
      </c>
      <c r="N35" s="17" t="s">
        <v>352</v>
      </c>
    </row>
    <row r="36" spans="1:21" x14ac:dyDescent="0.25">
      <c r="A36" s="15" t="s">
        <v>149</v>
      </c>
      <c r="B36" s="3">
        <f t="shared" si="0"/>
        <v>80</v>
      </c>
      <c r="C36" s="3">
        <f t="shared" si="1"/>
        <v>5</v>
      </c>
      <c r="D36" s="3" t="s">
        <v>140</v>
      </c>
      <c r="E36" s="3"/>
      <c r="F36" s="3"/>
      <c r="G36" s="3"/>
      <c r="H36" s="3"/>
      <c r="I36" s="3" t="s">
        <v>93</v>
      </c>
      <c r="J36" s="3"/>
    </row>
    <row r="37" spans="1:21" x14ac:dyDescent="0.25">
      <c r="A37" s="15" t="s">
        <v>150</v>
      </c>
      <c r="B37" s="3">
        <f t="shared" si="0"/>
        <v>80</v>
      </c>
      <c r="C37" s="3">
        <f t="shared" si="1"/>
        <v>6</v>
      </c>
      <c r="D37" s="3" t="s">
        <v>147</v>
      </c>
      <c r="E37" s="3"/>
      <c r="F37" s="3"/>
      <c r="G37" s="3"/>
      <c r="H37" s="3"/>
      <c r="I37" s="3" t="s">
        <v>100</v>
      </c>
      <c r="J37" s="3"/>
      <c r="K37" s="17" t="s">
        <v>349</v>
      </c>
      <c r="L37" s="17" t="s">
        <v>354</v>
      </c>
      <c r="M37" s="17" t="s">
        <v>350</v>
      </c>
      <c r="N37" s="17" t="s">
        <v>352</v>
      </c>
    </row>
    <row r="38" spans="1:21" x14ac:dyDescent="0.25">
      <c r="A38" s="15" t="s">
        <v>151</v>
      </c>
      <c r="B38" s="3">
        <f t="shared" si="0"/>
        <v>80</v>
      </c>
      <c r="C38" s="3">
        <f t="shared" si="1"/>
        <v>7</v>
      </c>
      <c r="D38" s="3" t="s">
        <v>152</v>
      </c>
      <c r="E38" s="3"/>
      <c r="F38" s="3"/>
      <c r="G38" s="3"/>
      <c r="H38" s="3"/>
      <c r="I38" s="3" t="s">
        <v>100</v>
      </c>
      <c r="J38" s="3"/>
      <c r="K38" s="17" t="s">
        <v>349</v>
      </c>
      <c r="L38" s="17" t="s">
        <v>355</v>
      </c>
      <c r="M38" s="17" t="s">
        <v>350</v>
      </c>
      <c r="N38" s="17" t="s">
        <v>352</v>
      </c>
    </row>
    <row r="39" spans="1:21" x14ac:dyDescent="0.25">
      <c r="A39" s="15" t="s">
        <v>153</v>
      </c>
      <c r="B39" s="3">
        <f t="shared" si="0"/>
        <v>80</v>
      </c>
      <c r="C39" s="3">
        <f t="shared" si="1"/>
        <v>8</v>
      </c>
      <c r="D39" s="3" t="s">
        <v>147</v>
      </c>
      <c r="E39" s="3"/>
      <c r="F39" s="3"/>
      <c r="G39" s="3"/>
      <c r="H39" s="3"/>
      <c r="I39" s="3" t="s">
        <v>93</v>
      </c>
      <c r="J39" s="3"/>
      <c r="O39" s="109" t="s">
        <v>154</v>
      </c>
      <c r="P39" s="109"/>
      <c r="Q39" s="109"/>
      <c r="R39" s="109"/>
      <c r="S39" s="109"/>
      <c r="T39" s="109"/>
      <c r="U39" s="109"/>
    </row>
    <row r="40" spans="1:21" x14ac:dyDescent="0.25">
      <c r="A40" s="15" t="s">
        <v>155</v>
      </c>
      <c r="B40" s="3">
        <f t="shared" si="0"/>
        <v>80</v>
      </c>
      <c r="C40" s="3">
        <f t="shared" si="1"/>
        <v>9</v>
      </c>
      <c r="D40" s="3" t="s">
        <v>147</v>
      </c>
      <c r="E40" s="3"/>
      <c r="F40" s="3"/>
      <c r="G40" s="3"/>
      <c r="H40" s="3"/>
      <c r="I40" s="3" t="s">
        <v>93</v>
      </c>
      <c r="J40" s="3"/>
      <c r="K40" s="17" t="s">
        <v>349</v>
      </c>
      <c r="L40" s="17" t="s">
        <v>359</v>
      </c>
      <c r="M40" s="17" t="s">
        <v>350</v>
      </c>
      <c r="N40" s="17" t="s">
        <v>352</v>
      </c>
      <c r="O40" s="109"/>
      <c r="P40" s="109"/>
      <c r="Q40" s="109"/>
      <c r="R40" s="109"/>
      <c r="S40" s="109"/>
      <c r="T40" s="109"/>
      <c r="U40" s="109"/>
    </row>
    <row r="41" spans="1:21" x14ac:dyDescent="0.25">
      <c r="A41" s="15" t="s">
        <v>157</v>
      </c>
      <c r="B41" s="3">
        <f t="shared" si="0"/>
        <v>80</v>
      </c>
      <c r="C41" s="3" t="s">
        <v>55</v>
      </c>
      <c r="D41" s="3" t="s">
        <v>140</v>
      </c>
      <c r="E41" s="3"/>
      <c r="F41" s="3"/>
      <c r="G41" s="3"/>
      <c r="H41" s="3"/>
      <c r="I41" s="3" t="s">
        <v>93</v>
      </c>
      <c r="J41" s="3"/>
      <c r="O41" s="109"/>
      <c r="P41" s="109"/>
      <c r="Q41" s="109"/>
      <c r="R41" s="109"/>
      <c r="S41" s="109"/>
      <c r="T41" s="109"/>
      <c r="U41" s="109"/>
    </row>
    <row r="42" spans="1:21" x14ac:dyDescent="0.25">
      <c r="A42" s="15" t="s">
        <v>158</v>
      </c>
      <c r="B42" s="3">
        <f t="shared" si="0"/>
        <v>80</v>
      </c>
      <c r="C42" s="3" t="s">
        <v>57</v>
      </c>
      <c r="D42" s="3" t="s">
        <v>147</v>
      </c>
      <c r="E42" s="3"/>
      <c r="F42" s="3"/>
      <c r="G42" s="3"/>
      <c r="H42" s="3"/>
      <c r="I42" s="3" t="s">
        <v>100</v>
      </c>
      <c r="J42" s="3"/>
      <c r="K42" s="17" t="s">
        <v>349</v>
      </c>
      <c r="L42" s="17" t="s">
        <v>356</v>
      </c>
      <c r="M42" s="17" t="s">
        <v>350</v>
      </c>
      <c r="N42" s="17" t="s">
        <v>352</v>
      </c>
      <c r="O42" s="109"/>
      <c r="P42" s="109"/>
      <c r="Q42" s="109"/>
      <c r="R42" s="109"/>
      <c r="S42" s="109"/>
      <c r="T42" s="109"/>
      <c r="U42" s="109"/>
    </row>
    <row r="43" spans="1:21" x14ac:dyDescent="0.25">
      <c r="A43" s="15" t="s">
        <v>159</v>
      </c>
      <c r="B43" s="3">
        <f t="shared" si="0"/>
        <v>80</v>
      </c>
      <c r="C43" s="3" t="s">
        <v>58</v>
      </c>
      <c r="D43" s="3" t="s">
        <v>152</v>
      </c>
      <c r="E43" s="3"/>
      <c r="F43" s="3"/>
      <c r="G43" s="3"/>
      <c r="H43" s="3"/>
      <c r="I43" s="3" t="s">
        <v>100</v>
      </c>
      <c r="J43" s="3"/>
      <c r="K43" s="17" t="s">
        <v>349</v>
      </c>
      <c r="L43" s="17" t="s">
        <v>357</v>
      </c>
      <c r="M43" s="17" t="s">
        <v>350</v>
      </c>
      <c r="N43" s="17" t="s">
        <v>352</v>
      </c>
      <c r="O43" s="109"/>
      <c r="P43" s="109"/>
      <c r="Q43" s="109"/>
      <c r="R43" s="109"/>
      <c r="S43" s="109"/>
      <c r="T43" s="109"/>
      <c r="U43" s="109"/>
    </row>
    <row r="44" spans="1:21" x14ac:dyDescent="0.25">
      <c r="A44" s="15" t="s">
        <v>160</v>
      </c>
      <c r="B44" s="3">
        <v>80</v>
      </c>
      <c r="C44" s="3" t="s">
        <v>60</v>
      </c>
      <c r="D44" s="3" t="s">
        <v>147</v>
      </c>
      <c r="E44" s="3"/>
      <c r="F44" s="3"/>
      <c r="G44" s="3"/>
      <c r="H44" s="3"/>
      <c r="I44" s="3" t="s">
        <v>93</v>
      </c>
      <c r="J44" s="3"/>
      <c r="O44" s="109"/>
      <c r="P44" s="109"/>
      <c r="Q44" s="109"/>
      <c r="R44" s="109"/>
      <c r="S44" s="109"/>
      <c r="T44" s="109"/>
      <c r="U44" s="109"/>
    </row>
    <row r="45" spans="1:21" x14ac:dyDescent="0.25">
      <c r="A45" s="15" t="s">
        <v>161</v>
      </c>
      <c r="B45" s="3">
        <v>80</v>
      </c>
      <c r="C45" s="3" t="s">
        <v>63</v>
      </c>
      <c r="D45" s="3" t="s">
        <v>147</v>
      </c>
      <c r="E45" s="3"/>
      <c r="F45" s="3"/>
      <c r="G45" s="3"/>
      <c r="H45" s="3"/>
      <c r="I45" s="3" t="s">
        <v>93</v>
      </c>
      <c r="J45" s="3"/>
      <c r="K45" s="17" t="s">
        <v>349</v>
      </c>
      <c r="L45" s="17" t="s">
        <v>358</v>
      </c>
      <c r="M45" s="17" t="s">
        <v>350</v>
      </c>
      <c r="N45" s="17" t="s">
        <v>352</v>
      </c>
      <c r="O45" s="109"/>
      <c r="P45" s="109"/>
      <c r="Q45" s="109"/>
      <c r="R45" s="109"/>
      <c r="S45" s="109"/>
      <c r="T45" s="109"/>
      <c r="U45" s="109"/>
    </row>
    <row r="46" spans="1:21" x14ac:dyDescent="0.25">
      <c r="A46" s="15" t="s">
        <v>162</v>
      </c>
      <c r="B46" s="3">
        <v>80</v>
      </c>
      <c r="C46" s="3" t="s">
        <v>65</v>
      </c>
      <c r="D46" s="3" t="s">
        <v>140</v>
      </c>
      <c r="E46" s="3"/>
      <c r="F46" s="3"/>
      <c r="G46" s="3"/>
      <c r="H46" s="3"/>
      <c r="I46" s="3" t="s">
        <v>93</v>
      </c>
      <c r="J46" s="3"/>
      <c r="O46" s="109"/>
      <c r="P46" s="109"/>
      <c r="Q46" s="109"/>
      <c r="R46" s="109"/>
      <c r="S46" s="109"/>
      <c r="T46" s="109"/>
      <c r="U46" s="109"/>
    </row>
    <row r="47" spans="1:21" x14ac:dyDescent="0.25">
      <c r="A47" s="15" t="s">
        <v>163</v>
      </c>
      <c r="B47" s="3">
        <v>80</v>
      </c>
      <c r="C47" s="3">
        <v>10</v>
      </c>
      <c r="D47" s="3" t="s">
        <v>147</v>
      </c>
      <c r="E47" s="3"/>
      <c r="F47" s="3"/>
      <c r="G47" s="3"/>
      <c r="H47" s="3"/>
      <c r="I47" s="3" t="s">
        <v>100</v>
      </c>
      <c r="J47" s="3"/>
      <c r="K47" s="17" t="s">
        <v>349</v>
      </c>
      <c r="L47" s="17" t="s">
        <v>356</v>
      </c>
      <c r="M47" s="17" t="s">
        <v>350</v>
      </c>
      <c r="N47" s="17" t="s">
        <v>352</v>
      </c>
      <c r="O47" s="109"/>
      <c r="P47" s="109"/>
      <c r="Q47" s="109"/>
      <c r="R47" s="109"/>
      <c r="S47" s="109"/>
      <c r="T47" s="109"/>
      <c r="U47" s="109"/>
    </row>
    <row r="48" spans="1:21" x14ac:dyDescent="0.25">
      <c r="A48" s="15" t="s">
        <v>164</v>
      </c>
      <c r="B48" s="3">
        <v>80</v>
      </c>
      <c r="C48" s="3">
        <f t="shared" ref="C48:C54" si="2">C47+1</f>
        <v>11</v>
      </c>
      <c r="D48" s="3" t="s">
        <v>165</v>
      </c>
      <c r="E48" s="3"/>
      <c r="F48" s="3"/>
      <c r="G48" s="3"/>
      <c r="H48" s="3"/>
      <c r="I48" s="3" t="s">
        <v>100</v>
      </c>
      <c r="J48" s="3"/>
      <c r="K48" s="17" t="s">
        <v>349</v>
      </c>
      <c r="L48" s="17" t="s">
        <v>357</v>
      </c>
      <c r="M48" s="17" t="s">
        <v>350</v>
      </c>
      <c r="N48" s="17" t="s">
        <v>352</v>
      </c>
      <c r="O48" s="109"/>
      <c r="P48" s="109"/>
      <c r="Q48" s="109"/>
      <c r="R48" s="109"/>
      <c r="S48" s="109"/>
      <c r="T48" s="109"/>
      <c r="U48" s="109"/>
    </row>
    <row r="49" spans="1:22" x14ac:dyDescent="0.25">
      <c r="A49" s="15" t="s">
        <v>166</v>
      </c>
      <c r="B49" s="3">
        <v>80</v>
      </c>
      <c r="C49" s="3">
        <f t="shared" si="2"/>
        <v>12</v>
      </c>
      <c r="D49" s="3" t="s">
        <v>147</v>
      </c>
      <c r="E49" s="3"/>
      <c r="F49" s="3"/>
      <c r="G49" s="3"/>
      <c r="H49" s="3"/>
      <c r="I49" s="3" t="s">
        <v>93</v>
      </c>
      <c r="J49" s="3"/>
      <c r="O49" s="109"/>
      <c r="P49" s="109"/>
      <c r="Q49" s="109"/>
      <c r="R49" s="109"/>
      <c r="S49" s="109"/>
      <c r="T49" s="109"/>
      <c r="U49" s="109"/>
    </row>
    <row r="50" spans="1:22" x14ac:dyDescent="0.25">
      <c r="A50" s="15" t="s">
        <v>167</v>
      </c>
      <c r="B50" s="3">
        <v>80</v>
      </c>
      <c r="C50" s="3">
        <f t="shared" si="2"/>
        <v>13</v>
      </c>
      <c r="D50" s="3" t="s">
        <v>92</v>
      </c>
      <c r="E50" s="3"/>
      <c r="F50" s="3"/>
      <c r="G50" s="3"/>
      <c r="H50" s="3"/>
      <c r="I50" s="3" t="s">
        <v>93</v>
      </c>
      <c r="J50" s="3"/>
    </row>
    <row r="51" spans="1:22" x14ac:dyDescent="0.25">
      <c r="A51" s="15" t="s">
        <v>168</v>
      </c>
      <c r="B51" s="3">
        <v>80</v>
      </c>
      <c r="C51" s="3">
        <f t="shared" si="2"/>
        <v>14</v>
      </c>
      <c r="D51" s="3" t="s">
        <v>99</v>
      </c>
      <c r="E51" s="3"/>
      <c r="F51" s="3"/>
      <c r="G51" s="3"/>
      <c r="H51" s="3"/>
      <c r="I51" s="3" t="s">
        <v>100</v>
      </c>
      <c r="J51" s="3"/>
      <c r="K51" s="17" t="s">
        <v>349</v>
      </c>
      <c r="L51" s="17" t="s">
        <v>360</v>
      </c>
      <c r="M51" s="17" t="s">
        <v>350</v>
      </c>
      <c r="N51" s="17" t="s">
        <v>352</v>
      </c>
      <c r="O51" s="1" t="s">
        <v>169</v>
      </c>
    </row>
    <row r="52" spans="1:22" x14ac:dyDescent="0.25">
      <c r="A52" s="15" t="s">
        <v>170</v>
      </c>
      <c r="B52" s="3">
        <v>80</v>
      </c>
      <c r="C52" s="3">
        <f t="shared" si="2"/>
        <v>15</v>
      </c>
      <c r="D52" s="3" t="s">
        <v>99</v>
      </c>
      <c r="E52" s="3"/>
      <c r="F52" s="3"/>
      <c r="G52" s="3"/>
      <c r="H52" s="3"/>
      <c r="I52" s="3" t="s">
        <v>100</v>
      </c>
      <c r="J52" s="3"/>
      <c r="K52" s="17" t="s">
        <v>349</v>
      </c>
      <c r="L52" s="17" t="s">
        <v>361</v>
      </c>
      <c r="M52" s="17" t="s">
        <v>350</v>
      </c>
      <c r="N52" s="17" t="s">
        <v>352</v>
      </c>
      <c r="O52" s="1" t="s">
        <v>171</v>
      </c>
    </row>
    <row r="53" spans="1:22" x14ac:dyDescent="0.25">
      <c r="A53" s="15" t="s">
        <v>172</v>
      </c>
      <c r="B53" s="3">
        <v>80</v>
      </c>
      <c r="C53" s="3">
        <f t="shared" si="2"/>
        <v>16</v>
      </c>
      <c r="D53" s="3" t="s">
        <v>92</v>
      </c>
      <c r="E53" s="3"/>
      <c r="F53" s="3"/>
      <c r="G53" s="3"/>
      <c r="H53" s="3"/>
      <c r="I53" s="3" t="s">
        <v>100</v>
      </c>
      <c r="J53" s="3"/>
    </row>
    <row r="54" spans="1:22" x14ac:dyDescent="0.25">
      <c r="A54" s="15" t="s">
        <v>173</v>
      </c>
      <c r="B54" s="3">
        <v>80</v>
      </c>
      <c r="C54" s="3">
        <f t="shared" si="2"/>
        <v>17</v>
      </c>
      <c r="D54" s="3" t="s">
        <v>165</v>
      </c>
      <c r="E54" s="3"/>
      <c r="F54" s="3"/>
      <c r="G54" s="3"/>
      <c r="H54" s="3"/>
      <c r="I54" s="3" t="s">
        <v>100</v>
      </c>
      <c r="J54" s="3"/>
      <c r="O54" s="1" t="s">
        <v>174</v>
      </c>
    </row>
    <row r="55" spans="1:22" ht="15.75" customHeight="1" x14ac:dyDescent="0.25">
      <c r="A55" s="106" t="s">
        <v>135</v>
      </c>
      <c r="B55" s="106"/>
      <c r="C55" s="106"/>
      <c r="D55" s="106"/>
      <c r="E55" s="106"/>
      <c r="F55" s="106"/>
      <c r="G55" s="106"/>
      <c r="H55" s="106"/>
      <c r="I55" s="106"/>
      <c r="J55" s="106"/>
      <c r="K55" s="106"/>
      <c r="L55" s="106"/>
      <c r="M55" s="106"/>
      <c r="N55" s="106"/>
      <c r="O55" s="106"/>
      <c r="P55" s="106"/>
      <c r="Q55" s="106"/>
      <c r="R55" s="106"/>
      <c r="S55" s="106"/>
      <c r="T55" s="106"/>
      <c r="U55" s="106"/>
      <c r="V55" s="106"/>
    </row>
    <row r="56" spans="1:22" ht="60" x14ac:dyDescent="0.25">
      <c r="A56" s="15" t="s">
        <v>175</v>
      </c>
      <c r="B56" s="3">
        <v>80</v>
      </c>
      <c r="C56" s="3" t="s">
        <v>176</v>
      </c>
      <c r="D56" s="3" t="s">
        <v>131</v>
      </c>
      <c r="E56" s="3"/>
      <c r="F56" s="3"/>
      <c r="G56" s="3"/>
      <c r="H56" s="3"/>
      <c r="I56" s="3" t="s">
        <v>100</v>
      </c>
      <c r="J56" s="8" t="s">
        <v>177</v>
      </c>
      <c r="K56" s="17" t="s">
        <v>116</v>
      </c>
      <c r="L56" s="17"/>
      <c r="M56" s="17"/>
      <c r="N56" s="17"/>
    </row>
    <row r="57" spans="1:22" x14ac:dyDescent="0.25">
      <c r="A57" s="15" t="s">
        <v>178</v>
      </c>
      <c r="B57" s="3">
        <v>80</v>
      </c>
      <c r="C57" s="3" t="s">
        <v>179</v>
      </c>
      <c r="D57" s="3" t="s">
        <v>137</v>
      </c>
      <c r="E57" s="3"/>
      <c r="F57" s="3"/>
      <c r="G57" s="3"/>
      <c r="H57" s="3"/>
      <c r="I57" s="3" t="s">
        <v>93</v>
      </c>
      <c r="J57" s="3" t="s">
        <v>180</v>
      </c>
      <c r="K57" s="17" t="s">
        <v>116</v>
      </c>
      <c r="L57" s="17"/>
      <c r="M57" s="17"/>
      <c r="N57" s="17"/>
    </row>
    <row r="58" spans="1:22" x14ac:dyDescent="0.25">
      <c r="A58" s="15" t="s">
        <v>181</v>
      </c>
      <c r="B58" s="3">
        <v>80</v>
      </c>
      <c r="C58" s="3">
        <v>30</v>
      </c>
      <c r="D58" s="3" t="s">
        <v>137</v>
      </c>
      <c r="E58" s="3"/>
      <c r="F58" s="3"/>
      <c r="G58" s="3"/>
      <c r="H58" s="3"/>
      <c r="I58" s="3" t="s">
        <v>93</v>
      </c>
      <c r="J58" s="3"/>
      <c r="K58" s="17" t="s">
        <v>116</v>
      </c>
      <c r="L58" s="17"/>
      <c r="M58" s="17"/>
      <c r="N58" s="17"/>
    </row>
    <row r="59" spans="1:22" x14ac:dyDescent="0.25">
      <c r="A59" s="15" t="s">
        <v>182</v>
      </c>
      <c r="B59" s="3">
        <v>80</v>
      </c>
      <c r="C59" s="3">
        <v>31</v>
      </c>
      <c r="D59" s="3" t="s">
        <v>92</v>
      </c>
      <c r="E59" s="3"/>
      <c r="F59" s="3"/>
      <c r="G59" s="3"/>
      <c r="H59" s="3"/>
      <c r="I59" s="3" t="s">
        <v>93</v>
      </c>
      <c r="J59" s="3"/>
    </row>
    <row r="60" spans="1:22" x14ac:dyDescent="0.25">
      <c r="A60" s="15" t="s">
        <v>183</v>
      </c>
      <c r="B60" s="3">
        <v>80</v>
      </c>
      <c r="C60" s="3">
        <v>32</v>
      </c>
      <c r="D60" s="3" t="s">
        <v>165</v>
      </c>
      <c r="E60" s="3"/>
      <c r="F60" s="3"/>
      <c r="G60" s="3"/>
      <c r="H60" s="3"/>
      <c r="I60" s="3" t="s">
        <v>93</v>
      </c>
    </row>
    <row r="61" spans="1:22" x14ac:dyDescent="0.25">
      <c r="A61" s="15" t="s">
        <v>184</v>
      </c>
      <c r="B61" s="3">
        <v>80</v>
      </c>
      <c r="C61" s="3">
        <v>33</v>
      </c>
      <c r="D61" s="3" t="s">
        <v>165</v>
      </c>
      <c r="E61" s="3"/>
      <c r="F61" s="3"/>
      <c r="G61" s="3"/>
      <c r="H61" s="3"/>
      <c r="I61" s="3" t="s">
        <v>93</v>
      </c>
    </row>
    <row r="62" spans="1:22" x14ac:dyDescent="0.25">
      <c r="A62" s="15" t="s">
        <v>185</v>
      </c>
      <c r="B62" s="3">
        <v>80</v>
      </c>
      <c r="C62" s="3">
        <v>34</v>
      </c>
      <c r="D62" s="3" t="s">
        <v>165</v>
      </c>
      <c r="E62" s="3"/>
      <c r="F62" s="3"/>
      <c r="G62" s="3"/>
      <c r="H62" s="3"/>
      <c r="I62" s="3" t="s">
        <v>93</v>
      </c>
    </row>
    <row r="63" spans="1:22" x14ac:dyDescent="0.25">
      <c r="A63" s="15" t="s">
        <v>186</v>
      </c>
      <c r="B63" s="3">
        <v>80</v>
      </c>
      <c r="C63" s="3">
        <v>35</v>
      </c>
      <c r="D63" s="3" t="s">
        <v>165</v>
      </c>
      <c r="E63" s="3"/>
      <c r="F63" s="3"/>
      <c r="G63" s="3"/>
      <c r="H63" s="3"/>
      <c r="I63" s="3" t="s">
        <v>93</v>
      </c>
    </row>
    <row r="64" spans="1:22" x14ac:dyDescent="0.25">
      <c r="A64" s="15" t="s">
        <v>187</v>
      </c>
      <c r="B64" s="3">
        <v>80</v>
      </c>
      <c r="C64" s="3">
        <v>36</v>
      </c>
      <c r="D64" s="3" t="s">
        <v>165</v>
      </c>
      <c r="I64" s="3" t="s">
        <v>93</v>
      </c>
    </row>
    <row r="65" spans="1:14 1027:1027" x14ac:dyDescent="0.25">
      <c r="A65" s="15" t="s">
        <v>188</v>
      </c>
      <c r="B65" s="3">
        <v>80</v>
      </c>
      <c r="C65" s="3">
        <v>37</v>
      </c>
      <c r="D65" s="3" t="s">
        <v>165</v>
      </c>
      <c r="I65" s="3" t="s">
        <v>93</v>
      </c>
    </row>
    <row r="66" spans="1:14 1027:1027" x14ac:dyDescent="0.25">
      <c r="A66" s="15" t="s">
        <v>189</v>
      </c>
      <c r="B66" s="3">
        <v>80</v>
      </c>
      <c r="C66" s="3">
        <v>38</v>
      </c>
      <c r="D66" s="3" t="s">
        <v>165</v>
      </c>
      <c r="I66" s="3" t="s">
        <v>93</v>
      </c>
    </row>
    <row r="67" spans="1:14 1027:1027" x14ac:dyDescent="0.25">
      <c r="A67" s="15" t="s">
        <v>190</v>
      </c>
      <c r="B67" s="3">
        <v>80</v>
      </c>
      <c r="C67" s="3">
        <v>39</v>
      </c>
      <c r="D67" s="3" t="s">
        <v>165</v>
      </c>
      <c r="I67" s="3" t="s">
        <v>93</v>
      </c>
    </row>
    <row r="68" spans="1:14 1027:1027" x14ac:dyDescent="0.25">
      <c r="A68" s="15" t="s">
        <v>191</v>
      </c>
      <c r="B68" s="3">
        <v>80</v>
      </c>
      <c r="C68" s="3" t="s">
        <v>192</v>
      </c>
      <c r="D68" s="3" t="s">
        <v>165</v>
      </c>
      <c r="I68" s="3" t="s">
        <v>93</v>
      </c>
    </row>
    <row r="69" spans="1:14 1027:1027" x14ac:dyDescent="0.25">
      <c r="A69" s="15" t="s">
        <v>193</v>
      </c>
      <c r="B69" s="3">
        <v>80</v>
      </c>
      <c r="C69" s="3" t="s">
        <v>194</v>
      </c>
      <c r="D69" s="3" t="s">
        <v>165</v>
      </c>
      <c r="I69" s="3" t="s">
        <v>93</v>
      </c>
    </row>
    <row r="70" spans="1:14 1027:1027" x14ac:dyDescent="0.25">
      <c r="A70" s="15" t="s">
        <v>195</v>
      </c>
      <c r="B70" s="3">
        <v>80</v>
      </c>
      <c r="C70" s="3" t="s">
        <v>196</v>
      </c>
      <c r="D70" s="3" t="s">
        <v>165</v>
      </c>
      <c r="I70" s="3" t="s">
        <v>93</v>
      </c>
    </row>
    <row r="71" spans="1:14 1027:1027" x14ac:dyDescent="0.25">
      <c r="A71" s="15" t="s">
        <v>197</v>
      </c>
      <c r="B71" s="3">
        <v>80</v>
      </c>
      <c r="C71" s="3" t="s">
        <v>198</v>
      </c>
      <c r="D71" s="3" t="s">
        <v>165</v>
      </c>
      <c r="I71" s="3" t="s">
        <v>93</v>
      </c>
    </row>
    <row r="72" spans="1:14 1027:1027" ht="206.25" x14ac:dyDescent="0.25">
      <c r="A72" s="15" t="s">
        <v>199</v>
      </c>
      <c r="B72" s="3">
        <v>80</v>
      </c>
      <c r="C72" s="3" t="s">
        <v>200</v>
      </c>
      <c r="D72" s="3" t="s">
        <v>131</v>
      </c>
      <c r="I72" s="3" t="s">
        <v>93</v>
      </c>
      <c r="J72" s="8" t="s">
        <v>614</v>
      </c>
      <c r="K72" s="17" t="s">
        <v>116</v>
      </c>
      <c r="L72" s="17"/>
      <c r="M72" s="17"/>
      <c r="N72" s="17"/>
    </row>
    <row r="73" spans="1:14 1027:1027" x14ac:dyDescent="0.25">
      <c r="A73" s="15" t="s">
        <v>201</v>
      </c>
      <c r="B73" s="3">
        <v>80</v>
      </c>
      <c r="C73" s="3" t="s">
        <v>202</v>
      </c>
      <c r="D73" s="3" t="s">
        <v>99</v>
      </c>
      <c r="E73" s="3"/>
      <c r="F73" s="3"/>
      <c r="G73" s="3"/>
      <c r="H73" s="3"/>
      <c r="I73" s="3" t="s">
        <v>100</v>
      </c>
    </row>
    <row r="74" spans="1:14 1027:1027" ht="105" x14ac:dyDescent="0.25">
      <c r="A74" s="15" t="s">
        <v>203</v>
      </c>
      <c r="B74" s="3">
        <v>80</v>
      </c>
      <c r="C74" s="3">
        <v>40</v>
      </c>
      <c r="D74" s="3" t="s">
        <v>137</v>
      </c>
      <c r="I74" s="3" t="s">
        <v>100</v>
      </c>
      <c r="J74" s="8" t="s">
        <v>969</v>
      </c>
      <c r="K74" s="17" t="s">
        <v>116</v>
      </c>
      <c r="L74" s="17"/>
      <c r="M74" s="17"/>
      <c r="N74" s="17"/>
    </row>
    <row r="75" spans="1:14 1027:1027" ht="30" x14ac:dyDescent="0.25">
      <c r="A75" s="15" t="s">
        <v>427</v>
      </c>
      <c r="B75" s="3">
        <v>80</v>
      </c>
      <c r="C75" s="3">
        <v>41</v>
      </c>
      <c r="D75" s="3" t="s">
        <v>131</v>
      </c>
      <c r="I75" s="3" t="s">
        <v>100</v>
      </c>
      <c r="J75" s="8" t="s">
        <v>346</v>
      </c>
      <c r="K75" s="33"/>
      <c r="L75" s="33"/>
      <c r="M75" s="33"/>
      <c r="N75" s="33"/>
    </row>
    <row r="76" spans="1:14 1027:1027" ht="90" x14ac:dyDescent="0.25">
      <c r="A76" s="15" t="s">
        <v>613</v>
      </c>
      <c r="B76" s="3">
        <v>80</v>
      </c>
      <c r="C76" s="3">
        <v>42</v>
      </c>
      <c r="D76" s="3" t="s">
        <v>137</v>
      </c>
      <c r="E76" s="3"/>
      <c r="F76" s="3"/>
      <c r="G76" s="3"/>
      <c r="H76" s="3"/>
      <c r="I76" s="3" t="s">
        <v>93</v>
      </c>
      <c r="J76" s="8" t="s">
        <v>615</v>
      </c>
      <c r="AMM76"/>
    </row>
    <row r="77" spans="1:14 1027:1027" ht="120" x14ac:dyDescent="0.25">
      <c r="A77" s="15" t="s">
        <v>651</v>
      </c>
      <c r="B77" s="3">
        <v>80</v>
      </c>
      <c r="C77" s="3">
        <v>43</v>
      </c>
      <c r="D77" s="3" t="s">
        <v>137</v>
      </c>
      <c r="E77" s="3"/>
      <c r="F77" s="3"/>
      <c r="G77" s="3"/>
      <c r="H77" s="3"/>
      <c r="I77" s="3" t="s">
        <v>93</v>
      </c>
      <c r="J77" s="8" t="s">
        <v>652</v>
      </c>
    </row>
    <row r="78" spans="1:14 1027:1027" ht="30" x14ac:dyDescent="0.25">
      <c r="A78" s="15" t="s">
        <v>677</v>
      </c>
      <c r="B78" s="3">
        <v>80</v>
      </c>
      <c r="C78" s="3">
        <v>44</v>
      </c>
      <c r="D78" s="3" t="s">
        <v>137</v>
      </c>
      <c r="I78" s="3" t="s">
        <v>100</v>
      </c>
      <c r="J78" s="8" t="s">
        <v>676</v>
      </c>
      <c r="K78" s="17" t="s">
        <v>116</v>
      </c>
      <c r="L78" s="17"/>
      <c r="M78" s="17"/>
      <c r="N78" s="17"/>
    </row>
    <row r="79" spans="1:14 1027:1027" ht="30" x14ac:dyDescent="0.25">
      <c r="A79" s="15" t="s">
        <v>911</v>
      </c>
      <c r="B79" s="3">
        <v>80</v>
      </c>
      <c r="C79" s="3">
        <v>45</v>
      </c>
      <c r="D79" s="3" t="s">
        <v>140</v>
      </c>
      <c r="I79" s="3" t="s">
        <v>100</v>
      </c>
      <c r="J79" s="8" t="s">
        <v>912</v>
      </c>
      <c r="K79" s="17" t="s">
        <v>116</v>
      </c>
      <c r="L79" s="17"/>
      <c r="M79" s="17"/>
      <c r="N79" s="17"/>
    </row>
    <row r="80" spans="1:14 1027:1027" ht="319.89999999999998" customHeight="1" x14ac:dyDescent="0.25">
      <c r="A80" s="15" t="s">
        <v>947</v>
      </c>
      <c r="B80" s="3">
        <v>80</v>
      </c>
      <c r="C80" s="3">
        <v>46</v>
      </c>
      <c r="D80" s="3" t="s">
        <v>946</v>
      </c>
      <c r="E80" s="3"/>
      <c r="F80" s="3"/>
      <c r="G80" s="3"/>
      <c r="H80" s="3"/>
      <c r="I80" s="3" t="s">
        <v>93</v>
      </c>
      <c r="J80" s="34" t="s">
        <v>976</v>
      </c>
    </row>
    <row r="81" spans="1:10" ht="319.89999999999998" customHeight="1" x14ac:dyDescent="0.25">
      <c r="A81" s="15" t="s">
        <v>948</v>
      </c>
      <c r="B81" s="3">
        <v>80</v>
      </c>
      <c r="C81" s="3">
        <v>47</v>
      </c>
      <c r="D81" s="3" t="s">
        <v>946</v>
      </c>
      <c r="E81" s="3"/>
      <c r="F81" s="3"/>
      <c r="G81" s="3"/>
      <c r="H81" s="3"/>
      <c r="I81" s="3" t="s">
        <v>93</v>
      </c>
      <c r="J81" s="34" t="s">
        <v>989</v>
      </c>
    </row>
    <row r="82" spans="1:10" ht="319.89999999999998" customHeight="1" x14ac:dyDescent="0.25">
      <c r="A82" s="15" t="s">
        <v>949</v>
      </c>
      <c r="B82" s="3">
        <v>80</v>
      </c>
      <c r="C82" s="3">
        <v>48</v>
      </c>
      <c r="D82" s="3" t="s">
        <v>946</v>
      </c>
      <c r="E82" s="3"/>
      <c r="F82" s="3"/>
      <c r="G82" s="3"/>
      <c r="H82" s="3"/>
      <c r="I82" s="3" t="s">
        <v>93</v>
      </c>
      <c r="J82" s="34" t="s">
        <v>988</v>
      </c>
    </row>
    <row r="83" spans="1:10" ht="319.89999999999998" customHeight="1" x14ac:dyDescent="0.25">
      <c r="A83" s="15" t="s">
        <v>950</v>
      </c>
      <c r="B83" s="3">
        <v>80</v>
      </c>
      <c r="C83" s="3">
        <v>49</v>
      </c>
      <c r="D83" s="3" t="s">
        <v>946</v>
      </c>
      <c r="E83" s="3"/>
      <c r="F83" s="3"/>
      <c r="G83" s="3"/>
      <c r="H83" s="3"/>
      <c r="I83" s="3" t="s">
        <v>93</v>
      </c>
      <c r="J83" s="34" t="s">
        <v>987</v>
      </c>
    </row>
    <row r="84" spans="1:10" ht="319.89999999999998" customHeight="1" x14ac:dyDescent="0.25">
      <c r="A84" s="15" t="s">
        <v>951</v>
      </c>
      <c r="B84" s="3">
        <v>80</v>
      </c>
      <c r="C84" s="3" t="s">
        <v>959</v>
      </c>
      <c r="D84" s="3" t="s">
        <v>946</v>
      </c>
      <c r="E84" s="3"/>
      <c r="F84" s="3"/>
      <c r="G84" s="3"/>
      <c r="H84" s="3"/>
      <c r="I84" s="3" t="s">
        <v>93</v>
      </c>
      <c r="J84" s="34" t="s">
        <v>986</v>
      </c>
    </row>
    <row r="85" spans="1:10" ht="319.89999999999998" customHeight="1" x14ac:dyDescent="0.25">
      <c r="A85" s="15" t="s">
        <v>952</v>
      </c>
      <c r="B85" s="3">
        <v>80</v>
      </c>
      <c r="C85" s="3" t="s">
        <v>960</v>
      </c>
      <c r="D85" s="3" t="s">
        <v>946</v>
      </c>
      <c r="E85" s="3"/>
      <c r="F85" s="3"/>
      <c r="G85" s="3"/>
      <c r="H85" s="3"/>
      <c r="I85" s="3" t="s">
        <v>93</v>
      </c>
      <c r="J85" s="34" t="s">
        <v>985</v>
      </c>
    </row>
    <row r="86" spans="1:10" ht="319.89999999999998" customHeight="1" x14ac:dyDescent="0.25">
      <c r="A86" s="15" t="s">
        <v>953</v>
      </c>
      <c r="B86" s="3">
        <v>80</v>
      </c>
      <c r="C86" s="3" t="s">
        <v>961</v>
      </c>
      <c r="D86" s="3" t="s">
        <v>946</v>
      </c>
      <c r="E86" s="3"/>
      <c r="F86" s="3"/>
      <c r="G86" s="3"/>
      <c r="H86" s="3"/>
      <c r="I86" s="3" t="s">
        <v>93</v>
      </c>
      <c r="J86" s="34" t="s">
        <v>984</v>
      </c>
    </row>
    <row r="87" spans="1:10" ht="319.89999999999998" customHeight="1" x14ac:dyDescent="0.25">
      <c r="A87" s="15" t="s">
        <v>954</v>
      </c>
      <c r="B87" s="3">
        <v>80</v>
      </c>
      <c r="C87" s="3" t="s">
        <v>962</v>
      </c>
      <c r="D87" s="3" t="s">
        <v>946</v>
      </c>
      <c r="E87" s="3"/>
      <c r="F87" s="3"/>
      <c r="G87" s="3"/>
      <c r="H87" s="3"/>
      <c r="I87" s="3" t="s">
        <v>93</v>
      </c>
      <c r="J87" s="34" t="s">
        <v>983</v>
      </c>
    </row>
    <row r="88" spans="1:10" ht="319.89999999999998" customHeight="1" x14ac:dyDescent="0.25">
      <c r="A88" s="15" t="s">
        <v>955</v>
      </c>
      <c r="B88" s="3">
        <v>80</v>
      </c>
      <c r="C88" s="3" t="s">
        <v>963</v>
      </c>
      <c r="D88" s="3" t="s">
        <v>946</v>
      </c>
      <c r="E88" s="3"/>
      <c r="F88" s="3"/>
      <c r="G88" s="3"/>
      <c r="H88" s="3"/>
      <c r="I88" s="3" t="s">
        <v>93</v>
      </c>
      <c r="J88" s="34" t="s">
        <v>982</v>
      </c>
    </row>
    <row r="89" spans="1:10" ht="319.89999999999998" customHeight="1" x14ac:dyDescent="0.25">
      <c r="A89" s="15" t="s">
        <v>956</v>
      </c>
      <c r="B89" s="3">
        <v>80</v>
      </c>
      <c r="C89" s="3" t="s">
        <v>964</v>
      </c>
      <c r="D89" s="3" t="s">
        <v>946</v>
      </c>
      <c r="E89" s="3"/>
      <c r="F89" s="3"/>
      <c r="G89" s="3"/>
      <c r="H89" s="3"/>
      <c r="I89" s="3" t="s">
        <v>93</v>
      </c>
      <c r="J89" s="34" t="s">
        <v>981</v>
      </c>
    </row>
    <row r="90" spans="1:10" ht="319.89999999999998" customHeight="1" x14ac:dyDescent="0.25">
      <c r="A90" s="15" t="s">
        <v>957</v>
      </c>
      <c r="B90" s="3">
        <v>80</v>
      </c>
      <c r="C90" s="3">
        <v>50</v>
      </c>
      <c r="D90" s="3" t="s">
        <v>946</v>
      </c>
      <c r="E90" s="3"/>
      <c r="F90" s="3"/>
      <c r="G90" s="3"/>
      <c r="H90" s="3"/>
      <c r="I90" s="3" t="s">
        <v>93</v>
      </c>
      <c r="J90" s="34" t="s">
        <v>980</v>
      </c>
    </row>
    <row r="91" spans="1:10" ht="319.89999999999998" customHeight="1" x14ac:dyDescent="0.25">
      <c r="A91" s="15" t="s">
        <v>958</v>
      </c>
      <c r="B91" s="3">
        <v>80</v>
      </c>
      <c r="C91" s="3">
        <v>51</v>
      </c>
      <c r="D91" s="3" t="s">
        <v>946</v>
      </c>
      <c r="E91" s="3"/>
      <c r="F91" s="3"/>
      <c r="G91" s="3"/>
      <c r="H91" s="3"/>
      <c r="I91" s="3" t="s">
        <v>93</v>
      </c>
      <c r="J91" s="34" t="s">
        <v>979</v>
      </c>
    </row>
    <row r="92" spans="1:10" ht="319.89999999999998" customHeight="1" x14ac:dyDescent="0.25">
      <c r="A92" s="15" t="s">
        <v>977</v>
      </c>
      <c r="B92" s="3">
        <v>80</v>
      </c>
      <c r="C92" s="3">
        <v>52</v>
      </c>
      <c r="D92" s="3" t="s">
        <v>946</v>
      </c>
      <c r="E92" s="3"/>
      <c r="F92" s="3"/>
      <c r="G92" s="3"/>
      <c r="H92" s="3"/>
      <c r="I92" s="3" t="s">
        <v>93</v>
      </c>
      <c r="J92" s="34" t="s">
        <v>978</v>
      </c>
    </row>
    <row r="93" spans="1:10" ht="408" customHeight="1" x14ac:dyDescent="0.25">
      <c r="A93" s="15" t="s">
        <v>965</v>
      </c>
      <c r="B93" s="3">
        <v>80</v>
      </c>
      <c r="C93" s="3">
        <v>53</v>
      </c>
      <c r="D93" s="3" t="s">
        <v>946</v>
      </c>
      <c r="E93" s="3"/>
      <c r="F93" s="3"/>
      <c r="G93" s="3"/>
      <c r="H93" s="3"/>
      <c r="I93" s="3" t="s">
        <v>93</v>
      </c>
      <c r="J93" s="34" t="s">
        <v>990</v>
      </c>
    </row>
    <row r="94" spans="1:10" ht="45" x14ac:dyDescent="0.25">
      <c r="A94" s="15" t="s">
        <v>1027</v>
      </c>
      <c r="B94" s="3">
        <v>80</v>
      </c>
      <c r="C94" s="3">
        <v>54</v>
      </c>
      <c r="D94" s="3" t="s">
        <v>140</v>
      </c>
      <c r="E94" s="3"/>
      <c r="F94" s="3">
        <v>0</v>
      </c>
      <c r="G94" s="3">
        <v>1</v>
      </c>
      <c r="H94" s="3"/>
      <c r="I94" s="3" t="s">
        <v>100</v>
      </c>
      <c r="J94" s="8" t="s">
        <v>1028</v>
      </c>
    </row>
  </sheetData>
  <mergeCells count="8">
    <mergeCell ref="A1:J1"/>
    <mergeCell ref="A55:I55"/>
    <mergeCell ref="J55:V55"/>
    <mergeCell ref="A4:I4"/>
    <mergeCell ref="J4:V4"/>
    <mergeCell ref="A30:I30"/>
    <mergeCell ref="J30:V30"/>
    <mergeCell ref="O39:U49"/>
  </mergeCells>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M159"/>
  <sheetViews>
    <sheetView zoomScale="98" zoomScaleNormal="100" workbookViewId="0">
      <pane xSplit="3" ySplit="4" topLeftCell="E130" activePane="bottomRight" state="frozen"/>
      <selection pane="topRight" activeCell="D1" sqref="D1"/>
      <selection pane="bottomLeft" activeCell="A3" sqref="A3"/>
      <selection pane="bottomRight" activeCell="K159" sqref="K159"/>
    </sheetView>
  </sheetViews>
  <sheetFormatPr defaultColWidth="8.5703125" defaultRowHeight="15" x14ac:dyDescent="0.25"/>
  <cols>
    <col min="1" max="1" width="43.7109375" style="3" bestFit="1" customWidth="1"/>
    <col min="2" max="2" width="10" style="1" customWidth="1"/>
    <col min="3" max="3" width="8.285156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80"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772</v>
      </c>
    </row>
    <row r="3" spans="1:20" x14ac:dyDescent="0.25">
      <c r="A3" s="10" t="s">
        <v>222</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904</v>
      </c>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8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837</v>
      </c>
      <c r="L26" s="3"/>
      <c r="M26" s="3"/>
      <c r="N26" s="3"/>
      <c r="O26" s="3"/>
      <c r="P26" s="3"/>
      <c r="Q26" s="3"/>
      <c r="R26" s="3"/>
      <c r="S26" s="3"/>
      <c r="T26" s="3"/>
    </row>
    <row r="27" spans="1:20" customFormat="1" ht="180"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788</v>
      </c>
      <c r="L27" s="3"/>
      <c r="M27" s="3"/>
      <c r="N27" s="3"/>
      <c r="O27" s="3"/>
      <c r="P27" s="3"/>
      <c r="Q27" s="3"/>
      <c r="R27" s="3"/>
      <c r="S27" s="3"/>
      <c r="T27" s="3"/>
    </row>
    <row r="28" spans="1:20" customFormat="1"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25">
      <c r="B29" s="3"/>
      <c r="C29" s="3"/>
      <c r="D29" s="3"/>
      <c r="E29" s="3"/>
      <c r="F29" s="3"/>
      <c r="G29" s="3"/>
      <c r="H29" s="3"/>
      <c r="I29" s="3"/>
      <c r="J29" s="3"/>
      <c r="L29" s="3"/>
      <c r="M29" s="3"/>
      <c r="N29" s="3"/>
      <c r="O29" s="3"/>
      <c r="P29" s="3"/>
      <c r="Q29" s="3"/>
      <c r="R29" s="3"/>
      <c r="S29" s="3"/>
      <c r="T29" s="3"/>
    </row>
    <row r="30" spans="1:20" x14ac:dyDescent="0.25">
      <c r="A30" s="39" t="s">
        <v>497</v>
      </c>
      <c r="B30" s="53"/>
      <c r="C30" s="53"/>
      <c r="D30" s="53"/>
      <c r="E30" s="53"/>
      <c r="F30" s="53"/>
      <c r="G30" s="53"/>
      <c r="H30" s="53"/>
      <c r="I30" s="53"/>
      <c r="J30" s="53"/>
      <c r="K30" s="101"/>
      <c r="L30" s="102"/>
      <c r="M30" s="102"/>
      <c r="N30" s="102"/>
      <c r="O30" s="102"/>
      <c r="P30" s="102"/>
      <c r="Q30" s="102"/>
      <c r="R30" s="102"/>
      <c r="S30" s="102"/>
      <c r="T30" s="103"/>
    </row>
    <row r="31" spans="1:20" ht="30" x14ac:dyDescent="0.25">
      <c r="A31" s="15" t="s">
        <v>838</v>
      </c>
      <c r="B31" s="3">
        <v>80</v>
      </c>
      <c r="C31" s="73" t="str">
        <f>DEC2HEX(0)</f>
        <v>0</v>
      </c>
      <c r="D31" s="3" t="s">
        <v>137</v>
      </c>
      <c r="E31" s="3"/>
      <c r="F31" s="3"/>
      <c r="G31" s="3"/>
      <c r="H31" s="3"/>
      <c r="I31" s="3" t="s">
        <v>103</v>
      </c>
      <c r="J31" s="3"/>
      <c r="K31" s="8" t="s">
        <v>579</v>
      </c>
      <c r="L31" s="3"/>
      <c r="M31" s="3"/>
      <c r="N31" s="3"/>
      <c r="O31" s="3"/>
      <c r="P31" s="3"/>
      <c r="Q31" s="3"/>
      <c r="R31" s="3"/>
      <c r="S31" s="3"/>
      <c r="T31" s="3"/>
    </row>
    <row r="32" spans="1:20" x14ac:dyDescent="0.25">
      <c r="A32" s="15" t="s">
        <v>223</v>
      </c>
      <c r="B32" s="3">
        <v>80</v>
      </c>
      <c r="C32" s="73" t="str">
        <f>DEC2HEX(HEX2DEC(C31)+1)</f>
        <v>1</v>
      </c>
      <c r="D32" s="3" t="s">
        <v>140</v>
      </c>
      <c r="E32" s="3"/>
      <c r="F32" s="3">
        <v>0</v>
      </c>
      <c r="G32" s="3">
        <v>1</v>
      </c>
      <c r="H32" s="3"/>
      <c r="I32" s="3" t="s">
        <v>93</v>
      </c>
      <c r="J32" s="3"/>
      <c r="K32" s="3" t="s">
        <v>644</v>
      </c>
      <c r="L32" s="3"/>
      <c r="M32" s="3"/>
      <c r="N32" s="3"/>
      <c r="O32" s="3"/>
      <c r="P32" s="3"/>
      <c r="Q32" s="3"/>
      <c r="R32" s="3"/>
      <c r="S32" s="3"/>
      <c r="T32" s="3"/>
    </row>
    <row r="33" spans="1:1027" ht="60" x14ac:dyDescent="0.25">
      <c r="A33" s="15" t="s">
        <v>569</v>
      </c>
      <c r="B33" s="3">
        <v>80</v>
      </c>
      <c r="C33" s="73" t="str">
        <f>DEC2HEX(HEX2DEC(C32)+1)</f>
        <v>2</v>
      </c>
      <c r="D33" s="3" t="s">
        <v>225</v>
      </c>
      <c r="E33" s="3"/>
      <c r="F33" s="3"/>
      <c r="G33" s="3"/>
      <c r="H33" s="3" t="s">
        <v>226</v>
      </c>
      <c r="I33" s="3" t="s">
        <v>93</v>
      </c>
      <c r="J33" s="3"/>
      <c r="K33" s="8" t="s">
        <v>580</v>
      </c>
      <c r="L33" s="3"/>
      <c r="M33" s="3"/>
      <c r="N33" s="3"/>
      <c r="O33" s="3"/>
      <c r="P33" s="3"/>
      <c r="Q33" s="3"/>
      <c r="R33" s="3"/>
      <c r="S33" s="3"/>
      <c r="T33" s="3"/>
    </row>
    <row r="34" spans="1:1027" x14ac:dyDescent="0.25">
      <c r="A34" s="15" t="s">
        <v>227</v>
      </c>
      <c r="B34" s="3">
        <v>80</v>
      </c>
      <c r="C34" s="73" t="str">
        <f>DEC2HEX(HEX2DEC(C33)+1)</f>
        <v>3</v>
      </c>
      <c r="D34" s="3" t="s">
        <v>225</v>
      </c>
      <c r="E34" s="3"/>
      <c r="F34" s="3"/>
      <c r="G34" s="3"/>
      <c r="H34" s="3" t="s">
        <v>226</v>
      </c>
      <c r="I34" s="3" t="s">
        <v>93</v>
      </c>
      <c r="J34" s="3"/>
      <c r="K34" s="3" t="s">
        <v>228</v>
      </c>
      <c r="L34" s="3"/>
      <c r="M34" s="3"/>
      <c r="N34" s="3"/>
      <c r="O34" s="3"/>
      <c r="P34" s="3"/>
      <c r="Q34" s="3"/>
      <c r="R34" s="3"/>
      <c r="S34" s="3"/>
      <c r="T34" s="3"/>
    </row>
    <row r="35" spans="1:1027" x14ac:dyDescent="0.25">
      <c r="A35" s="15" t="s">
        <v>307</v>
      </c>
      <c r="B35" s="3">
        <v>80</v>
      </c>
      <c r="C35" s="73" t="str">
        <f t="shared" ref="C35:C98" si="0">DEC2HEX(HEX2DEC(C34)+1)</f>
        <v>4</v>
      </c>
      <c r="D35" s="3" t="s">
        <v>137</v>
      </c>
      <c r="E35" s="3"/>
      <c r="F35" s="3"/>
      <c r="G35" s="3"/>
      <c r="H35" s="3"/>
      <c r="I35" s="3"/>
      <c r="J35" s="3"/>
      <c r="K35" s="3" t="s">
        <v>308</v>
      </c>
      <c r="L35" s="3"/>
      <c r="M35" s="3"/>
      <c r="N35" s="3"/>
      <c r="O35" s="3"/>
      <c r="P35" s="3"/>
      <c r="Q35" s="3"/>
      <c r="R35" s="3"/>
      <c r="S35" s="3"/>
      <c r="T35" s="3"/>
    </row>
    <row r="36" spans="1:1027" x14ac:dyDescent="0.25">
      <c r="A36" s="15" t="s">
        <v>656</v>
      </c>
      <c r="B36" s="3">
        <v>80</v>
      </c>
      <c r="C36" s="73" t="str">
        <f t="shared" si="0"/>
        <v>5</v>
      </c>
      <c r="D36" s="3" t="s">
        <v>240</v>
      </c>
      <c r="F36" s="3">
        <v>0</v>
      </c>
      <c r="G36" s="3">
        <v>65535</v>
      </c>
      <c r="H36" s="3" t="s">
        <v>633</v>
      </c>
      <c r="I36" s="3" t="s">
        <v>87</v>
      </c>
      <c r="K36" s="3" t="s">
        <v>658</v>
      </c>
      <c r="L36" s="3"/>
      <c r="M36" s="3"/>
      <c r="N36" s="3"/>
      <c r="O36" s="3"/>
      <c r="P36" s="3"/>
      <c r="Q36" s="3"/>
      <c r="R36" s="3"/>
      <c r="S36" s="3"/>
      <c r="T36" s="3"/>
    </row>
    <row r="37" spans="1:1027" x14ac:dyDescent="0.25">
      <c r="A37" s="15" t="s">
        <v>655</v>
      </c>
      <c r="B37" s="3">
        <v>80</v>
      </c>
      <c r="C37" s="73" t="str">
        <f t="shared" si="0"/>
        <v>6</v>
      </c>
      <c r="D37" s="3" t="s">
        <v>240</v>
      </c>
      <c r="F37" s="3">
        <v>0</v>
      </c>
      <c r="G37" s="3">
        <v>65535</v>
      </c>
      <c r="H37" s="3" t="s">
        <v>633</v>
      </c>
      <c r="I37" s="3" t="s">
        <v>87</v>
      </c>
      <c r="K37" s="3" t="s">
        <v>657</v>
      </c>
      <c r="L37" s="3"/>
      <c r="M37" s="3"/>
      <c r="N37" s="3"/>
      <c r="O37" s="3"/>
      <c r="P37" s="3"/>
      <c r="Q37" s="3"/>
      <c r="R37" s="3"/>
      <c r="S37" s="3"/>
      <c r="T37" s="3"/>
    </row>
    <row r="38" spans="1:1027" customFormat="1" x14ac:dyDescent="0.25">
      <c r="A38" s="15" t="s">
        <v>654</v>
      </c>
      <c r="B38" s="3">
        <v>80</v>
      </c>
      <c r="C38" s="73" t="str">
        <f t="shared" si="0"/>
        <v>7</v>
      </c>
      <c r="D38" s="3" t="s">
        <v>240</v>
      </c>
      <c r="E38" s="1"/>
      <c r="F38" s="3">
        <v>0</v>
      </c>
      <c r="G38" s="3">
        <v>65535</v>
      </c>
      <c r="H38" s="3" t="s">
        <v>633</v>
      </c>
      <c r="I38" s="3" t="s">
        <v>87</v>
      </c>
      <c r="J38" s="1"/>
      <c r="K38" s="3" t="s">
        <v>658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25">
      <c r="A39" s="15" t="s">
        <v>653</v>
      </c>
      <c r="B39" s="3">
        <v>80</v>
      </c>
      <c r="C39" s="73" t="str">
        <f t="shared" si="0"/>
        <v>8</v>
      </c>
      <c r="D39" s="3" t="s">
        <v>240</v>
      </c>
      <c r="F39" s="3">
        <v>0</v>
      </c>
      <c r="G39" s="3">
        <v>65535</v>
      </c>
      <c r="H39" s="3" t="s">
        <v>633</v>
      </c>
      <c r="I39" s="3" t="s">
        <v>87</v>
      </c>
      <c r="K39" s="3" t="s">
        <v>657</v>
      </c>
      <c r="L39" s="3"/>
      <c r="M39" s="3"/>
      <c r="N39" s="3"/>
      <c r="O39" s="3"/>
      <c r="P39" s="3"/>
      <c r="Q39" s="3"/>
      <c r="R39" s="3"/>
      <c r="S39" s="3"/>
      <c r="T39" s="3"/>
    </row>
    <row r="40" spans="1:1027" x14ac:dyDescent="0.25">
      <c r="A40" s="15" t="s">
        <v>450</v>
      </c>
      <c r="B40" s="3">
        <v>80</v>
      </c>
      <c r="C40" s="73" t="str">
        <f t="shared" si="0"/>
        <v>9</v>
      </c>
      <c r="D40" s="3" t="s">
        <v>225</v>
      </c>
      <c r="E40" s="3"/>
      <c r="F40" s="3">
        <v>-180</v>
      </c>
      <c r="G40" s="3">
        <v>180</v>
      </c>
      <c r="H40" s="3" t="s">
        <v>226</v>
      </c>
      <c r="I40" s="3" t="s">
        <v>93</v>
      </c>
      <c r="J40" s="3"/>
      <c r="L40" s="3"/>
      <c r="M40" s="3"/>
      <c r="N40" s="3"/>
      <c r="O40" s="3"/>
      <c r="P40" s="3"/>
      <c r="Q40" s="3"/>
      <c r="R40" s="3"/>
      <c r="S40" s="3"/>
      <c r="T40" s="3"/>
    </row>
    <row r="41" spans="1:1027" x14ac:dyDescent="0.25">
      <c r="A41" s="15" t="s">
        <v>451</v>
      </c>
      <c r="B41" s="3">
        <v>80</v>
      </c>
      <c r="C41" s="73" t="str">
        <f t="shared" si="0"/>
        <v>A</v>
      </c>
      <c r="D41" s="3" t="s">
        <v>225</v>
      </c>
      <c r="E41" s="3"/>
      <c r="F41" s="3">
        <v>-180</v>
      </c>
      <c r="G41" s="3">
        <v>180</v>
      </c>
      <c r="H41" s="3" t="s">
        <v>226</v>
      </c>
      <c r="I41" s="3" t="s">
        <v>93</v>
      </c>
      <c r="J41" s="3"/>
      <c r="L41" s="3"/>
      <c r="M41" s="3"/>
      <c r="N41" s="3"/>
      <c r="O41" s="3"/>
      <c r="P41" s="3"/>
      <c r="Q41" s="3"/>
      <c r="R41" s="3"/>
      <c r="S41" s="3"/>
      <c r="T41" s="3"/>
    </row>
    <row r="42" spans="1:1027" x14ac:dyDescent="0.25">
      <c r="A42" s="15" t="s">
        <v>452</v>
      </c>
      <c r="B42" s="3">
        <v>80</v>
      </c>
      <c r="C42" s="73" t="str">
        <f t="shared" si="0"/>
        <v>B</v>
      </c>
      <c r="D42" s="3" t="s">
        <v>225</v>
      </c>
      <c r="E42" s="3"/>
      <c r="F42" s="3">
        <v>-180</v>
      </c>
      <c r="G42" s="3">
        <v>180</v>
      </c>
      <c r="H42" s="3" t="s">
        <v>226</v>
      </c>
      <c r="I42" s="3" t="s">
        <v>93</v>
      </c>
      <c r="J42" s="3"/>
      <c r="L42" s="3"/>
      <c r="M42" s="3"/>
      <c r="N42" s="3"/>
      <c r="O42" s="3"/>
      <c r="P42" s="3"/>
      <c r="Q42" s="3"/>
      <c r="R42" s="3"/>
      <c r="S42" s="3"/>
      <c r="T42" s="3"/>
    </row>
    <row r="43" spans="1:1027" x14ac:dyDescent="0.25">
      <c r="A43" s="37" t="s">
        <v>453</v>
      </c>
      <c r="B43" s="3">
        <v>80</v>
      </c>
      <c r="C43" s="73" t="str">
        <f t="shared" si="0"/>
        <v>C</v>
      </c>
      <c r="D43" s="3" t="s">
        <v>225</v>
      </c>
      <c r="E43" s="3"/>
      <c r="F43" s="3"/>
      <c r="G43" s="3"/>
      <c r="H43" s="3"/>
      <c r="I43" s="3" t="s">
        <v>93</v>
      </c>
      <c r="J43" s="3"/>
      <c r="L43" s="3"/>
      <c r="M43" s="3"/>
      <c r="N43" s="3"/>
      <c r="O43" s="3"/>
      <c r="P43" s="3"/>
      <c r="Q43" s="3"/>
      <c r="R43" s="3"/>
      <c r="S43" s="3"/>
      <c r="T43" s="3"/>
    </row>
    <row r="44" spans="1:1027" x14ac:dyDescent="0.25">
      <c r="A44" s="37" t="s">
        <v>454</v>
      </c>
      <c r="B44" s="3">
        <v>80</v>
      </c>
      <c r="C44" s="73" t="str">
        <f t="shared" si="0"/>
        <v>D</v>
      </c>
      <c r="D44" s="3" t="s">
        <v>225</v>
      </c>
      <c r="E44" s="3"/>
      <c r="F44" s="3"/>
      <c r="G44" s="3"/>
      <c r="H44" s="3"/>
      <c r="I44" s="3" t="s">
        <v>93</v>
      </c>
      <c r="J44" s="3"/>
      <c r="L44" s="3"/>
      <c r="M44" s="3"/>
      <c r="N44" s="3"/>
      <c r="O44" s="3"/>
      <c r="P44" s="3"/>
      <c r="Q44" s="3"/>
      <c r="R44" s="3"/>
      <c r="S44" s="3"/>
      <c r="T44" s="3"/>
    </row>
    <row r="45" spans="1:1027" x14ac:dyDescent="0.25">
      <c r="A45" s="37" t="s">
        <v>455</v>
      </c>
      <c r="B45" s="3">
        <v>80</v>
      </c>
      <c r="C45" s="73" t="str">
        <f t="shared" si="0"/>
        <v>E</v>
      </c>
      <c r="D45" s="3" t="s">
        <v>225</v>
      </c>
      <c r="E45" s="3"/>
      <c r="F45" s="3"/>
      <c r="G45" s="3"/>
      <c r="H45" s="3"/>
      <c r="I45" s="3" t="s">
        <v>93</v>
      </c>
      <c r="J45" s="3"/>
      <c r="L45" s="3"/>
      <c r="M45" s="3"/>
      <c r="N45" s="3"/>
      <c r="O45" s="3"/>
      <c r="P45" s="3"/>
      <c r="Q45" s="3"/>
      <c r="R45" s="3"/>
      <c r="S45" s="3"/>
      <c r="T45" s="3"/>
    </row>
    <row r="46" spans="1:1027" x14ac:dyDescent="0.25">
      <c r="A46" s="37" t="s">
        <v>624</v>
      </c>
      <c r="B46" s="3">
        <v>80</v>
      </c>
      <c r="C46" s="73" t="str">
        <f t="shared" si="0"/>
        <v>F</v>
      </c>
      <c r="D46" s="3" t="s">
        <v>137</v>
      </c>
      <c r="E46" s="3"/>
      <c r="F46" s="3">
        <v>0</v>
      </c>
      <c r="G46" s="3">
        <v>3</v>
      </c>
      <c r="H46" s="3"/>
      <c r="I46" s="3" t="s">
        <v>93</v>
      </c>
      <c r="J46" s="3"/>
      <c r="K46" s="3" t="s">
        <v>625</v>
      </c>
      <c r="L46" s="3"/>
      <c r="M46" s="3"/>
      <c r="N46" s="3"/>
      <c r="O46" s="3"/>
      <c r="P46" s="3"/>
      <c r="Q46" s="3"/>
      <c r="R46" s="3"/>
      <c r="S46" s="3"/>
      <c r="T46" s="3"/>
    </row>
    <row r="47" spans="1:1027" x14ac:dyDescent="0.25">
      <c r="A47" s="42" t="s">
        <v>626</v>
      </c>
      <c r="B47" s="3">
        <v>80</v>
      </c>
      <c r="C47" s="73" t="str">
        <f t="shared" si="0"/>
        <v>10</v>
      </c>
      <c r="D47" s="3"/>
      <c r="E47" s="3"/>
      <c r="F47" s="3"/>
      <c r="G47" s="3"/>
      <c r="H47" s="3"/>
      <c r="I47" s="3" t="s">
        <v>93</v>
      </c>
      <c r="J47" s="3"/>
      <c r="L47" s="3"/>
      <c r="M47" s="3"/>
      <c r="N47" s="3"/>
      <c r="O47" s="3"/>
      <c r="P47" s="3"/>
      <c r="Q47" s="3"/>
      <c r="R47" s="3"/>
      <c r="S47" s="3"/>
      <c r="T47" s="3"/>
    </row>
    <row r="48" spans="1:1027" x14ac:dyDescent="0.25">
      <c r="A48" s="37" t="s">
        <v>577</v>
      </c>
      <c r="B48" s="3">
        <v>80</v>
      </c>
      <c r="C48" s="73" t="str">
        <f t="shared" si="0"/>
        <v>11</v>
      </c>
      <c r="D48" s="3" t="s">
        <v>140</v>
      </c>
      <c r="E48" s="3"/>
      <c r="F48" s="3">
        <v>0</v>
      </c>
      <c r="G48" s="3">
        <v>1</v>
      </c>
      <c r="H48" s="3"/>
      <c r="I48" s="3" t="s">
        <v>93</v>
      </c>
      <c r="J48" s="3"/>
      <c r="L48" s="3"/>
      <c r="M48" s="3"/>
      <c r="N48" s="3"/>
      <c r="O48" s="3"/>
      <c r="P48" s="3"/>
      <c r="Q48" s="3"/>
      <c r="R48" s="3"/>
      <c r="S48" s="3"/>
      <c r="T48" s="3"/>
    </row>
    <row r="49" spans="1:20" x14ac:dyDescent="0.25">
      <c r="A49" s="37" t="s">
        <v>578</v>
      </c>
      <c r="B49" s="3">
        <v>80</v>
      </c>
      <c r="C49" s="73" t="str">
        <f t="shared" si="0"/>
        <v>12</v>
      </c>
      <c r="D49" s="3" t="s">
        <v>140</v>
      </c>
      <c r="E49" s="3"/>
      <c r="F49" s="3">
        <v>0</v>
      </c>
      <c r="G49" s="3">
        <v>1</v>
      </c>
      <c r="H49" s="3"/>
      <c r="I49" s="3" t="s">
        <v>93</v>
      </c>
      <c r="J49" s="3"/>
      <c r="L49" s="3"/>
      <c r="M49" s="3"/>
      <c r="N49" s="3"/>
      <c r="O49" s="3"/>
      <c r="P49" s="3"/>
      <c r="Q49" s="3"/>
      <c r="R49" s="3"/>
      <c r="S49" s="3"/>
      <c r="T49" s="3"/>
    </row>
    <row r="50" spans="1:20" x14ac:dyDescent="0.25">
      <c r="A50" s="37" t="s">
        <v>499</v>
      </c>
      <c r="B50" s="3">
        <v>80</v>
      </c>
      <c r="C50" s="73" t="str">
        <f t="shared" si="0"/>
        <v>13</v>
      </c>
      <c r="D50" s="3" t="s">
        <v>137</v>
      </c>
      <c r="E50" s="3"/>
      <c r="F50" s="3">
        <v>0</v>
      </c>
      <c r="G50" s="3">
        <v>2</v>
      </c>
      <c r="H50" s="3"/>
      <c r="I50" s="3" t="s">
        <v>93</v>
      </c>
      <c r="J50" s="3"/>
      <c r="K50" s="3" t="s">
        <v>500</v>
      </c>
      <c r="L50" s="3"/>
      <c r="M50" s="3"/>
      <c r="N50" s="3"/>
      <c r="O50" s="3"/>
      <c r="P50" s="3"/>
      <c r="Q50" s="3"/>
      <c r="R50" s="3"/>
      <c r="S50" s="3"/>
      <c r="T50" s="3"/>
    </row>
    <row r="51" spans="1:20" x14ac:dyDescent="0.25">
      <c r="A51" s="21" t="s">
        <v>571</v>
      </c>
      <c r="B51" s="3">
        <v>80</v>
      </c>
      <c r="C51" s="73" t="str">
        <f t="shared" si="0"/>
        <v>14</v>
      </c>
      <c r="D51" s="3" t="s">
        <v>128</v>
      </c>
      <c r="E51" s="3"/>
      <c r="F51" s="3"/>
      <c r="G51" s="3"/>
      <c r="H51" s="3"/>
      <c r="I51" s="3"/>
      <c r="J51" s="3"/>
      <c r="L51" s="3"/>
      <c r="M51" s="3"/>
      <c r="N51" s="3"/>
      <c r="O51" s="3"/>
      <c r="P51" s="3"/>
      <c r="Q51" s="3"/>
      <c r="R51" s="3"/>
      <c r="S51" s="3"/>
      <c r="T51" s="3"/>
    </row>
    <row r="52" spans="1:20" x14ac:dyDescent="0.25">
      <c r="A52" s="21" t="s">
        <v>570</v>
      </c>
      <c r="B52" s="3">
        <v>80</v>
      </c>
      <c r="C52" s="73" t="str">
        <f t="shared" si="0"/>
        <v>15</v>
      </c>
      <c r="D52" s="3" t="s">
        <v>128</v>
      </c>
      <c r="E52" s="3"/>
      <c r="F52" s="3"/>
      <c r="G52" s="3"/>
      <c r="H52" s="3"/>
      <c r="I52" s="3"/>
      <c r="J52" s="3"/>
      <c r="L52" s="3"/>
      <c r="M52" s="3"/>
      <c r="N52" s="3"/>
      <c r="O52" s="3"/>
      <c r="P52" s="3"/>
      <c r="Q52" s="3"/>
      <c r="R52" s="3"/>
      <c r="S52" s="3"/>
      <c r="T52" s="3"/>
    </row>
    <row r="53" spans="1:20" x14ac:dyDescent="0.25">
      <c r="A53" s="21" t="s">
        <v>572</v>
      </c>
      <c r="B53" s="3">
        <v>80</v>
      </c>
      <c r="C53" s="73" t="str">
        <f t="shared" si="0"/>
        <v>16</v>
      </c>
      <c r="D53" s="3" t="s">
        <v>128</v>
      </c>
      <c r="E53" s="3"/>
      <c r="F53" s="3"/>
      <c r="G53" s="3"/>
      <c r="H53" s="3"/>
      <c r="I53" s="3"/>
      <c r="J53" s="3"/>
      <c r="L53" s="3"/>
      <c r="M53" s="3"/>
      <c r="N53" s="3"/>
      <c r="O53" s="3"/>
      <c r="P53" s="3"/>
      <c r="Q53" s="3"/>
      <c r="R53" s="3"/>
      <c r="S53" s="3"/>
      <c r="T53" s="3"/>
    </row>
    <row r="54" spans="1:20" x14ac:dyDescent="0.25">
      <c r="A54" s="21" t="s">
        <v>573</v>
      </c>
      <c r="B54" s="3">
        <v>80</v>
      </c>
      <c r="C54" s="73" t="str">
        <f t="shared" si="0"/>
        <v>17</v>
      </c>
      <c r="D54" s="3" t="s">
        <v>128</v>
      </c>
      <c r="E54" s="3"/>
      <c r="F54" s="3"/>
      <c r="G54" s="3"/>
      <c r="H54" s="3"/>
      <c r="I54" s="3"/>
      <c r="J54" s="3"/>
      <c r="L54" s="3"/>
      <c r="M54" s="3"/>
      <c r="N54" s="3"/>
      <c r="O54" s="3"/>
      <c r="P54" s="3"/>
      <c r="Q54" s="3"/>
      <c r="R54" s="3"/>
      <c r="S54" s="3"/>
      <c r="T54" s="3"/>
    </row>
    <row r="55" spans="1:20" x14ac:dyDescent="0.25">
      <c r="A55" s="37" t="s">
        <v>501</v>
      </c>
      <c r="B55" s="3">
        <v>80</v>
      </c>
      <c r="C55" s="73" t="str">
        <f t="shared" si="0"/>
        <v>18</v>
      </c>
      <c r="D55" s="3" t="s">
        <v>137</v>
      </c>
      <c r="E55" s="3"/>
      <c r="F55" s="3">
        <v>0</v>
      </c>
      <c r="G55" s="3">
        <v>2</v>
      </c>
      <c r="H55" s="3"/>
      <c r="I55" s="3" t="s">
        <v>93</v>
      </c>
      <c r="J55" s="3"/>
      <c r="K55" s="3" t="s">
        <v>500</v>
      </c>
      <c r="L55" s="3"/>
      <c r="M55" s="3"/>
      <c r="N55" s="3"/>
      <c r="O55" s="3"/>
      <c r="P55" s="3"/>
      <c r="Q55" s="3"/>
      <c r="R55" s="3"/>
      <c r="S55" s="3"/>
      <c r="T55" s="3"/>
    </row>
    <row r="56" spans="1:20" x14ac:dyDescent="0.25">
      <c r="A56" s="21" t="s">
        <v>528</v>
      </c>
      <c r="B56" s="3">
        <v>80</v>
      </c>
      <c r="C56" s="73" t="str">
        <f t="shared" si="0"/>
        <v>19</v>
      </c>
      <c r="D56" s="3" t="s">
        <v>128</v>
      </c>
      <c r="E56" s="3"/>
      <c r="F56" s="3"/>
      <c r="G56" s="3"/>
      <c r="H56" s="3"/>
      <c r="I56" s="3"/>
      <c r="J56" s="3"/>
      <c r="L56" s="3"/>
      <c r="M56" s="3"/>
      <c r="N56" s="3"/>
      <c r="O56" s="3"/>
      <c r="P56" s="3"/>
      <c r="Q56" s="3"/>
      <c r="R56" s="3"/>
      <c r="S56" s="3"/>
      <c r="T56" s="3"/>
    </row>
    <row r="57" spans="1:20" x14ac:dyDescent="0.25">
      <c r="A57" s="21" t="s">
        <v>529</v>
      </c>
      <c r="B57" s="3"/>
      <c r="C57" s="73" t="str">
        <f>DEC2HEX(HEX2DEC(C56)+1)</f>
        <v>1A</v>
      </c>
      <c r="D57" s="3"/>
      <c r="E57" s="3"/>
      <c r="F57" s="3"/>
      <c r="G57" s="3"/>
      <c r="H57" s="3"/>
      <c r="I57" s="3"/>
      <c r="J57" s="3"/>
      <c r="L57" s="3"/>
      <c r="M57" s="3"/>
      <c r="N57" s="3"/>
      <c r="O57" s="3"/>
      <c r="P57" s="3"/>
      <c r="Q57" s="3"/>
      <c r="R57" s="3"/>
      <c r="S57" s="3"/>
      <c r="T57" s="3"/>
    </row>
    <row r="58" spans="1:20" x14ac:dyDescent="0.25">
      <c r="A58" s="21" t="s">
        <v>530</v>
      </c>
      <c r="B58" s="3"/>
      <c r="C58" s="73" t="str">
        <f t="shared" si="0"/>
        <v>1B</v>
      </c>
      <c r="D58" s="3"/>
      <c r="E58" s="3"/>
      <c r="F58" s="3"/>
      <c r="G58" s="3"/>
      <c r="H58" s="3"/>
      <c r="I58" s="3"/>
      <c r="J58" s="3"/>
      <c r="L58" s="3"/>
      <c r="M58" s="3"/>
      <c r="N58" s="3"/>
      <c r="O58" s="3"/>
      <c r="P58" s="3"/>
      <c r="Q58" s="3"/>
      <c r="R58" s="3"/>
      <c r="S58" s="3"/>
      <c r="T58" s="3"/>
    </row>
    <row r="59" spans="1:20" x14ac:dyDescent="0.25">
      <c r="A59" s="37" t="s">
        <v>502</v>
      </c>
      <c r="B59" s="3">
        <v>80</v>
      </c>
      <c r="C59" s="73" t="str">
        <f t="shared" si="0"/>
        <v>1C</v>
      </c>
      <c r="D59" s="3" t="s">
        <v>137</v>
      </c>
      <c r="E59" s="3"/>
      <c r="F59" s="3">
        <v>0</v>
      </c>
      <c r="G59" s="3">
        <v>2</v>
      </c>
      <c r="H59" s="3"/>
      <c r="I59" s="3" t="s">
        <v>93</v>
      </c>
      <c r="J59" s="3"/>
      <c r="K59" s="3" t="s">
        <v>500</v>
      </c>
      <c r="L59" s="3"/>
      <c r="M59" s="3"/>
      <c r="N59" s="3"/>
      <c r="O59" s="3"/>
      <c r="P59" s="3"/>
      <c r="Q59" s="3"/>
      <c r="R59" s="3"/>
      <c r="S59" s="3"/>
      <c r="T59" s="3"/>
    </row>
    <row r="60" spans="1:20" x14ac:dyDescent="0.25">
      <c r="A60" s="21" t="s">
        <v>541</v>
      </c>
      <c r="B60" s="3">
        <v>80</v>
      </c>
      <c r="C60" s="73" t="str">
        <f t="shared" si="0"/>
        <v>1D</v>
      </c>
      <c r="D60" s="3" t="s">
        <v>128</v>
      </c>
      <c r="E60" s="3"/>
      <c r="F60" s="3"/>
      <c r="G60" s="3"/>
      <c r="H60" s="3"/>
      <c r="I60" s="3"/>
      <c r="J60" s="3"/>
      <c r="L60" s="3"/>
      <c r="M60" s="3"/>
      <c r="N60" s="3"/>
      <c r="O60" s="3"/>
      <c r="P60" s="3"/>
      <c r="Q60" s="3"/>
      <c r="R60" s="3"/>
      <c r="S60" s="3"/>
      <c r="T60" s="3"/>
    </row>
    <row r="61" spans="1:20" x14ac:dyDescent="0.25">
      <c r="A61" s="21" t="s">
        <v>542</v>
      </c>
      <c r="B61" s="3"/>
      <c r="C61" s="73" t="str">
        <f t="shared" si="0"/>
        <v>1E</v>
      </c>
      <c r="D61" s="3"/>
      <c r="E61" s="3"/>
      <c r="F61" s="3"/>
      <c r="G61" s="3"/>
      <c r="H61" s="3"/>
      <c r="I61" s="3"/>
      <c r="J61" s="3"/>
      <c r="L61" s="3"/>
      <c r="M61" s="3"/>
      <c r="N61" s="3"/>
      <c r="O61" s="3"/>
      <c r="P61" s="3"/>
      <c r="Q61" s="3"/>
      <c r="R61" s="3"/>
      <c r="S61" s="3"/>
      <c r="T61" s="3"/>
    </row>
    <row r="62" spans="1:20" x14ac:dyDescent="0.25">
      <c r="A62" s="21" t="s">
        <v>543</v>
      </c>
      <c r="B62" s="3"/>
      <c r="C62" s="73" t="str">
        <f t="shared" si="0"/>
        <v>1F</v>
      </c>
      <c r="D62" s="3"/>
      <c r="E62" s="3"/>
      <c r="F62" s="3"/>
      <c r="G62" s="3"/>
      <c r="H62" s="3"/>
      <c r="I62" s="3"/>
      <c r="J62" s="3"/>
      <c r="L62" s="3"/>
      <c r="M62" s="3"/>
      <c r="N62" s="3"/>
      <c r="O62" s="3"/>
      <c r="P62" s="3"/>
      <c r="Q62" s="3"/>
      <c r="R62" s="3"/>
      <c r="S62" s="3"/>
      <c r="T62" s="3"/>
    </row>
    <row r="63" spans="1:20" x14ac:dyDescent="0.25">
      <c r="A63" s="37" t="s">
        <v>503</v>
      </c>
      <c r="B63" s="3">
        <v>80</v>
      </c>
      <c r="C63" s="73" t="str">
        <f t="shared" si="0"/>
        <v>20</v>
      </c>
      <c r="D63" s="3" t="s">
        <v>137</v>
      </c>
      <c r="E63" s="3"/>
      <c r="F63" s="3">
        <v>0</v>
      </c>
      <c r="G63" s="3">
        <v>2</v>
      </c>
      <c r="H63" s="3"/>
      <c r="I63" s="3" t="s">
        <v>93</v>
      </c>
      <c r="J63" s="3"/>
      <c r="K63" s="3" t="s">
        <v>500</v>
      </c>
      <c r="L63" s="3"/>
      <c r="M63" s="3"/>
      <c r="N63" s="3"/>
      <c r="O63" s="3"/>
      <c r="P63" s="3"/>
      <c r="Q63" s="3"/>
      <c r="R63" s="3"/>
      <c r="S63" s="3"/>
      <c r="T63" s="3"/>
    </row>
    <row r="64" spans="1:20" x14ac:dyDescent="0.25">
      <c r="A64" s="21" t="s">
        <v>544</v>
      </c>
      <c r="B64" s="3">
        <v>80</v>
      </c>
      <c r="C64" s="73" t="str">
        <f t="shared" si="0"/>
        <v>21</v>
      </c>
      <c r="D64" s="3" t="s">
        <v>128</v>
      </c>
      <c r="E64" s="3"/>
      <c r="F64" s="3"/>
      <c r="G64" s="3"/>
      <c r="H64" s="3"/>
      <c r="I64" s="3"/>
      <c r="J64" s="3"/>
      <c r="L64" s="3"/>
      <c r="M64" s="3"/>
      <c r="N64" s="3"/>
      <c r="O64" s="3"/>
      <c r="P64" s="3"/>
      <c r="Q64" s="3"/>
      <c r="R64" s="3"/>
      <c r="S64" s="3"/>
      <c r="T64" s="3"/>
    </row>
    <row r="65" spans="1:20" x14ac:dyDescent="0.25">
      <c r="A65" s="21" t="s">
        <v>545</v>
      </c>
      <c r="B65" s="3"/>
      <c r="C65" s="73" t="str">
        <f t="shared" si="0"/>
        <v>22</v>
      </c>
      <c r="D65" s="3"/>
      <c r="E65" s="3"/>
      <c r="F65" s="3"/>
      <c r="G65" s="3"/>
      <c r="H65" s="3"/>
      <c r="I65" s="3"/>
      <c r="J65" s="3"/>
      <c r="L65" s="3"/>
      <c r="M65" s="3"/>
      <c r="N65" s="3"/>
      <c r="O65" s="3"/>
      <c r="P65" s="3"/>
      <c r="Q65" s="3"/>
      <c r="R65" s="3"/>
      <c r="S65" s="3"/>
      <c r="T65" s="3"/>
    </row>
    <row r="66" spans="1:20" x14ac:dyDescent="0.25">
      <c r="A66" s="21" t="s">
        <v>546</v>
      </c>
      <c r="B66" s="3"/>
      <c r="C66" s="73" t="str">
        <f t="shared" si="0"/>
        <v>23</v>
      </c>
      <c r="D66" s="3"/>
      <c r="E66" s="3"/>
      <c r="F66" s="3"/>
      <c r="G66" s="3"/>
      <c r="H66" s="3"/>
      <c r="I66" s="3"/>
      <c r="J66" s="3"/>
      <c r="L66" s="3"/>
      <c r="M66" s="3"/>
      <c r="N66" s="3"/>
      <c r="O66" s="3"/>
      <c r="P66" s="3"/>
      <c r="Q66" s="3"/>
      <c r="R66" s="3"/>
      <c r="S66" s="3"/>
      <c r="T66" s="3"/>
    </row>
    <row r="67" spans="1:20" x14ac:dyDescent="0.25">
      <c r="A67" s="37" t="s">
        <v>504</v>
      </c>
      <c r="B67" s="3">
        <v>80</v>
      </c>
      <c r="C67" s="73" t="str">
        <f t="shared" si="0"/>
        <v>24</v>
      </c>
      <c r="D67" s="3" t="s">
        <v>137</v>
      </c>
      <c r="E67" s="3"/>
      <c r="F67" s="3">
        <v>0</v>
      </c>
      <c r="G67" s="3">
        <v>2</v>
      </c>
      <c r="H67" s="3"/>
      <c r="I67" s="3" t="s">
        <v>93</v>
      </c>
      <c r="J67" s="3"/>
      <c r="K67" s="3" t="s">
        <v>500</v>
      </c>
      <c r="L67" s="3"/>
      <c r="M67" s="3"/>
      <c r="N67" s="3"/>
      <c r="O67" s="3"/>
      <c r="P67" s="3"/>
      <c r="Q67" s="3"/>
      <c r="R67" s="3"/>
      <c r="S67" s="3"/>
      <c r="T67" s="3"/>
    </row>
    <row r="68" spans="1:20" x14ac:dyDescent="0.25">
      <c r="A68" s="21" t="s">
        <v>547</v>
      </c>
      <c r="B68" s="3">
        <v>80</v>
      </c>
      <c r="C68" s="73" t="str">
        <f t="shared" si="0"/>
        <v>25</v>
      </c>
      <c r="D68" s="3" t="s">
        <v>128</v>
      </c>
      <c r="E68" s="3"/>
      <c r="F68" s="3"/>
      <c r="G68" s="3"/>
      <c r="H68" s="3"/>
      <c r="I68" s="3"/>
      <c r="J68" s="3"/>
      <c r="L68" s="3"/>
      <c r="M68" s="3"/>
      <c r="N68" s="3"/>
      <c r="O68" s="3"/>
      <c r="P68" s="3"/>
      <c r="Q68" s="3"/>
      <c r="R68" s="3"/>
      <c r="S68" s="3"/>
      <c r="T68" s="3"/>
    </row>
    <row r="69" spans="1:20" x14ac:dyDescent="0.25">
      <c r="A69" s="21" t="s">
        <v>548</v>
      </c>
      <c r="B69" s="3"/>
      <c r="C69" s="73" t="str">
        <f t="shared" si="0"/>
        <v>26</v>
      </c>
      <c r="D69" s="3"/>
      <c r="E69" s="3"/>
      <c r="F69" s="3"/>
      <c r="G69" s="3"/>
      <c r="H69" s="3"/>
      <c r="I69" s="3"/>
      <c r="J69" s="3"/>
      <c r="L69" s="3"/>
      <c r="M69" s="3"/>
      <c r="N69" s="3"/>
      <c r="O69" s="3"/>
      <c r="P69" s="3"/>
      <c r="Q69" s="3"/>
      <c r="R69" s="3"/>
      <c r="S69" s="3"/>
      <c r="T69" s="3"/>
    </row>
    <row r="70" spans="1:20" x14ac:dyDescent="0.25">
      <c r="A70" s="21" t="s">
        <v>549</v>
      </c>
      <c r="B70" s="3"/>
      <c r="C70" s="73" t="str">
        <f t="shared" si="0"/>
        <v>27</v>
      </c>
      <c r="D70" s="3"/>
      <c r="E70" s="3"/>
      <c r="F70" s="3"/>
      <c r="G70" s="3"/>
      <c r="H70" s="3"/>
      <c r="I70" s="3"/>
      <c r="J70" s="3"/>
      <c r="L70" s="3"/>
      <c r="M70" s="3"/>
      <c r="N70" s="3"/>
      <c r="O70" s="3"/>
      <c r="P70" s="3"/>
      <c r="Q70" s="3"/>
      <c r="R70" s="3"/>
      <c r="S70" s="3"/>
      <c r="T70" s="3"/>
    </row>
    <row r="71" spans="1:20" x14ac:dyDescent="0.25">
      <c r="A71" s="37" t="s">
        <v>505</v>
      </c>
      <c r="B71" s="3">
        <v>80</v>
      </c>
      <c r="C71" s="73" t="str">
        <f t="shared" si="0"/>
        <v>28</v>
      </c>
      <c r="D71" s="3" t="s">
        <v>137</v>
      </c>
      <c r="E71" s="3"/>
      <c r="F71" s="3">
        <v>0</v>
      </c>
      <c r="G71" s="3">
        <v>2</v>
      </c>
      <c r="H71" s="3"/>
      <c r="I71" s="3" t="s">
        <v>93</v>
      </c>
      <c r="J71" s="3"/>
      <c r="K71" s="3" t="s">
        <v>500</v>
      </c>
      <c r="L71" s="3"/>
      <c r="M71" s="3"/>
      <c r="N71" s="3"/>
      <c r="O71" s="3"/>
      <c r="P71" s="3"/>
      <c r="Q71" s="3"/>
      <c r="R71" s="3"/>
      <c r="S71" s="3"/>
      <c r="T71" s="3"/>
    </row>
    <row r="72" spans="1:20" x14ac:dyDescent="0.25">
      <c r="A72" s="21" t="s">
        <v>550</v>
      </c>
      <c r="B72" s="3">
        <v>80</v>
      </c>
      <c r="C72" s="73" t="str">
        <f>DEC2HEX(HEX2DEC(C71)+1)</f>
        <v>29</v>
      </c>
      <c r="D72" s="3" t="s">
        <v>128</v>
      </c>
      <c r="E72" s="3"/>
      <c r="F72" s="3"/>
      <c r="G72" s="3"/>
      <c r="H72" s="3"/>
      <c r="I72" s="3"/>
      <c r="J72" s="3"/>
      <c r="L72" s="3"/>
      <c r="M72" s="3"/>
      <c r="N72" s="3"/>
      <c r="O72" s="3"/>
      <c r="P72" s="3"/>
      <c r="Q72" s="3"/>
      <c r="R72" s="3"/>
      <c r="S72" s="3"/>
      <c r="T72" s="3"/>
    </row>
    <row r="73" spans="1:20" x14ac:dyDescent="0.25">
      <c r="A73" s="21" t="s">
        <v>551</v>
      </c>
      <c r="B73" s="3"/>
      <c r="C73" s="73" t="str">
        <f t="shared" si="0"/>
        <v>2A</v>
      </c>
      <c r="D73" s="3"/>
      <c r="E73" s="3"/>
      <c r="F73" s="3"/>
      <c r="G73" s="3"/>
      <c r="H73" s="3"/>
      <c r="I73" s="3"/>
      <c r="J73" s="3"/>
      <c r="L73" s="3"/>
      <c r="M73" s="3"/>
      <c r="N73" s="3"/>
      <c r="O73" s="3"/>
      <c r="P73" s="3"/>
      <c r="Q73" s="3"/>
      <c r="R73" s="3"/>
      <c r="S73" s="3"/>
      <c r="T73" s="3"/>
    </row>
    <row r="74" spans="1:20" x14ac:dyDescent="0.25">
      <c r="A74" s="21" t="s">
        <v>552</v>
      </c>
      <c r="B74" s="3"/>
      <c r="C74" s="73" t="str">
        <f t="shared" si="0"/>
        <v>2B</v>
      </c>
      <c r="D74" s="3"/>
      <c r="E74" s="3"/>
      <c r="F74" s="3"/>
      <c r="G74" s="3"/>
      <c r="H74" s="3"/>
      <c r="I74" s="3"/>
      <c r="J74" s="3"/>
      <c r="L74" s="3"/>
      <c r="M74" s="3"/>
      <c r="N74" s="3"/>
      <c r="O74" s="3"/>
      <c r="P74" s="3"/>
      <c r="Q74" s="3"/>
      <c r="R74" s="3"/>
      <c r="S74" s="3"/>
      <c r="T74" s="3"/>
    </row>
    <row r="75" spans="1:20" x14ac:dyDescent="0.25">
      <c r="A75" s="37" t="s">
        <v>506</v>
      </c>
      <c r="B75" s="3">
        <v>80</v>
      </c>
      <c r="C75" s="73" t="str">
        <f t="shared" si="0"/>
        <v>2C</v>
      </c>
      <c r="D75" s="3" t="s">
        <v>137</v>
      </c>
      <c r="E75" s="3"/>
      <c r="F75" s="3">
        <v>0</v>
      </c>
      <c r="G75" s="3">
        <v>2</v>
      </c>
      <c r="H75" s="3"/>
      <c r="I75" s="3" t="s">
        <v>93</v>
      </c>
      <c r="J75" s="3"/>
      <c r="K75" s="3" t="s">
        <v>500</v>
      </c>
      <c r="L75" s="3"/>
      <c r="M75" s="3"/>
      <c r="N75" s="3"/>
      <c r="O75" s="3"/>
      <c r="P75" s="3"/>
      <c r="Q75" s="3"/>
      <c r="R75" s="3"/>
      <c r="S75" s="3"/>
      <c r="T75" s="3"/>
    </row>
    <row r="76" spans="1:20" x14ac:dyDescent="0.25">
      <c r="A76" s="21" t="s">
        <v>553</v>
      </c>
      <c r="B76" s="3">
        <v>80</v>
      </c>
      <c r="C76" s="73" t="str">
        <f t="shared" si="0"/>
        <v>2D</v>
      </c>
      <c r="D76" s="3" t="s">
        <v>128</v>
      </c>
      <c r="E76" s="3"/>
      <c r="F76" s="3"/>
      <c r="G76" s="3"/>
      <c r="H76" s="3"/>
      <c r="I76" s="3"/>
      <c r="J76" s="3"/>
      <c r="L76" s="3"/>
      <c r="M76" s="3"/>
      <c r="N76" s="3"/>
      <c r="O76" s="3"/>
      <c r="P76" s="3"/>
      <c r="Q76" s="3"/>
      <c r="R76" s="3"/>
      <c r="S76" s="3"/>
      <c r="T76" s="3"/>
    </row>
    <row r="77" spans="1:20" x14ac:dyDescent="0.25">
      <c r="A77" s="21" t="s">
        <v>554</v>
      </c>
      <c r="B77" s="3"/>
      <c r="C77" s="73" t="str">
        <f t="shared" si="0"/>
        <v>2E</v>
      </c>
      <c r="D77" s="3"/>
      <c r="E77" s="3"/>
      <c r="F77" s="3"/>
      <c r="G77" s="3"/>
      <c r="H77" s="3"/>
      <c r="I77" s="3"/>
      <c r="J77" s="3"/>
      <c r="L77" s="3"/>
      <c r="M77" s="3"/>
      <c r="N77" s="3"/>
      <c r="O77" s="3"/>
      <c r="P77" s="3"/>
      <c r="Q77" s="3"/>
      <c r="R77" s="3"/>
      <c r="S77" s="3"/>
      <c r="T77" s="3"/>
    </row>
    <row r="78" spans="1:20" x14ac:dyDescent="0.25">
      <c r="A78" s="21" t="s">
        <v>555</v>
      </c>
      <c r="B78" s="3"/>
      <c r="C78" s="73" t="str">
        <f t="shared" si="0"/>
        <v>2F</v>
      </c>
      <c r="D78" s="3"/>
      <c r="E78" s="3"/>
      <c r="F78" s="3"/>
      <c r="G78" s="3"/>
      <c r="H78" s="3"/>
      <c r="I78" s="3"/>
      <c r="J78" s="3"/>
      <c r="L78" s="3"/>
      <c r="M78" s="3"/>
      <c r="N78" s="3"/>
      <c r="O78" s="3"/>
      <c r="P78" s="3"/>
      <c r="Q78" s="3"/>
      <c r="R78" s="3"/>
      <c r="S78" s="3"/>
      <c r="T78" s="3"/>
    </row>
    <row r="79" spans="1:20" x14ac:dyDescent="0.25">
      <c r="A79" s="37" t="s">
        <v>507</v>
      </c>
      <c r="B79" s="3">
        <v>80</v>
      </c>
      <c r="C79" s="73" t="str">
        <f t="shared" si="0"/>
        <v>30</v>
      </c>
      <c r="D79" s="3" t="s">
        <v>137</v>
      </c>
      <c r="E79" s="3"/>
      <c r="F79" s="3">
        <v>0</v>
      </c>
      <c r="G79" s="3">
        <v>2</v>
      </c>
      <c r="H79" s="3"/>
      <c r="I79" s="3" t="s">
        <v>93</v>
      </c>
      <c r="J79" s="3"/>
      <c r="K79" s="3" t="s">
        <v>500</v>
      </c>
      <c r="L79" s="3"/>
      <c r="M79" s="3"/>
      <c r="N79" s="3"/>
      <c r="O79" s="3"/>
      <c r="P79" s="3"/>
      <c r="Q79" s="3"/>
      <c r="R79" s="3"/>
      <c r="S79" s="3"/>
      <c r="T79" s="3"/>
    </row>
    <row r="80" spans="1:20" x14ac:dyDescent="0.25">
      <c r="A80" s="21" t="s">
        <v>556</v>
      </c>
      <c r="B80" s="3">
        <v>80</v>
      </c>
      <c r="C80" s="73" t="str">
        <f t="shared" si="0"/>
        <v>31</v>
      </c>
      <c r="D80" s="3" t="s">
        <v>128</v>
      </c>
      <c r="E80" s="3"/>
      <c r="F80" s="3"/>
      <c r="G80" s="3"/>
      <c r="H80" s="3"/>
      <c r="I80" s="3"/>
      <c r="J80" s="3"/>
      <c r="L80" s="3"/>
      <c r="M80" s="3"/>
      <c r="N80" s="3"/>
      <c r="O80" s="3"/>
      <c r="P80" s="3"/>
      <c r="Q80" s="3"/>
      <c r="R80" s="3"/>
      <c r="S80" s="3"/>
      <c r="T80" s="3"/>
    </row>
    <row r="81" spans="1:20" x14ac:dyDescent="0.25">
      <c r="A81" s="21" t="s">
        <v>557</v>
      </c>
      <c r="B81" s="3"/>
      <c r="C81" s="73" t="str">
        <f t="shared" si="0"/>
        <v>32</v>
      </c>
      <c r="D81" s="3"/>
      <c r="E81" s="3"/>
      <c r="F81" s="3"/>
      <c r="G81" s="3"/>
      <c r="H81" s="3"/>
      <c r="I81" s="3"/>
      <c r="J81" s="3"/>
      <c r="L81" s="3"/>
      <c r="M81" s="3"/>
      <c r="N81" s="3"/>
      <c r="O81" s="3"/>
      <c r="P81" s="3"/>
      <c r="Q81" s="3"/>
      <c r="R81" s="3"/>
      <c r="S81" s="3"/>
      <c r="T81" s="3"/>
    </row>
    <row r="82" spans="1:20" x14ac:dyDescent="0.25">
      <c r="A82" s="21" t="s">
        <v>558</v>
      </c>
      <c r="B82" s="3"/>
      <c r="C82" s="73" t="str">
        <f t="shared" si="0"/>
        <v>33</v>
      </c>
      <c r="D82" s="3"/>
      <c r="E82" s="3"/>
      <c r="F82" s="3"/>
      <c r="G82" s="3"/>
      <c r="H82" s="3"/>
      <c r="I82" s="3"/>
      <c r="J82" s="3"/>
      <c r="L82" s="3"/>
      <c r="M82" s="3"/>
      <c r="N82" s="3"/>
      <c r="O82" s="3"/>
      <c r="P82" s="3"/>
      <c r="Q82" s="3"/>
      <c r="R82" s="3"/>
      <c r="S82" s="3"/>
      <c r="T82" s="3"/>
    </row>
    <row r="83" spans="1:20" x14ac:dyDescent="0.25">
      <c r="A83" s="37" t="s">
        <v>508</v>
      </c>
      <c r="B83" s="3">
        <v>80</v>
      </c>
      <c r="C83" s="73" t="str">
        <f t="shared" si="0"/>
        <v>34</v>
      </c>
      <c r="D83" s="3" t="s">
        <v>137</v>
      </c>
      <c r="E83" s="3"/>
      <c r="F83" s="3">
        <v>0</v>
      </c>
      <c r="G83" s="3">
        <v>2</v>
      </c>
      <c r="H83" s="3"/>
      <c r="I83" s="3" t="s">
        <v>93</v>
      </c>
      <c r="J83" s="3"/>
      <c r="K83" s="3" t="s">
        <v>500</v>
      </c>
      <c r="L83" s="3"/>
      <c r="M83" s="3"/>
      <c r="N83" s="3"/>
      <c r="O83" s="3"/>
      <c r="P83" s="3"/>
      <c r="Q83" s="3"/>
      <c r="R83" s="3"/>
      <c r="S83" s="3"/>
      <c r="T83" s="3"/>
    </row>
    <row r="84" spans="1:20" x14ac:dyDescent="0.25">
      <c r="A84" s="21" t="s">
        <v>559</v>
      </c>
      <c r="B84" s="3">
        <v>80</v>
      </c>
      <c r="C84" s="73" t="str">
        <f t="shared" si="0"/>
        <v>35</v>
      </c>
      <c r="D84" s="3" t="s">
        <v>128</v>
      </c>
      <c r="E84" s="3"/>
      <c r="F84" s="3"/>
      <c r="G84" s="3"/>
      <c r="H84" s="3"/>
      <c r="I84" s="3"/>
      <c r="J84" s="3"/>
      <c r="L84" s="3"/>
      <c r="M84" s="3"/>
      <c r="N84" s="3"/>
      <c r="O84" s="3"/>
      <c r="P84" s="3"/>
      <c r="Q84" s="3"/>
      <c r="R84" s="3"/>
      <c r="S84" s="3"/>
      <c r="T84" s="3"/>
    </row>
    <row r="85" spans="1:20" x14ac:dyDescent="0.25">
      <c r="A85" s="21" t="s">
        <v>560</v>
      </c>
      <c r="B85" s="3"/>
      <c r="C85" s="73" t="str">
        <f t="shared" si="0"/>
        <v>36</v>
      </c>
      <c r="D85" s="3"/>
      <c r="E85" s="3"/>
      <c r="F85" s="3"/>
      <c r="G85" s="3"/>
      <c r="H85" s="3"/>
      <c r="I85" s="3"/>
      <c r="J85" s="3"/>
      <c r="L85" s="3"/>
      <c r="M85" s="3"/>
      <c r="N85" s="3"/>
      <c r="O85" s="3"/>
      <c r="P85" s="3"/>
      <c r="Q85" s="3"/>
      <c r="R85" s="3"/>
      <c r="S85" s="3"/>
      <c r="T85" s="3"/>
    </row>
    <row r="86" spans="1:20" x14ac:dyDescent="0.25">
      <c r="A86" s="21" t="s">
        <v>561</v>
      </c>
      <c r="B86" s="3"/>
      <c r="C86" s="73" t="str">
        <f t="shared" si="0"/>
        <v>37</v>
      </c>
      <c r="D86" s="3"/>
      <c r="E86" s="3"/>
      <c r="F86" s="3"/>
      <c r="G86" s="3"/>
      <c r="H86" s="3"/>
      <c r="I86" s="3"/>
      <c r="J86" s="3"/>
      <c r="L86" s="3"/>
      <c r="M86" s="3"/>
      <c r="N86" s="3"/>
      <c r="O86" s="3"/>
      <c r="P86" s="3"/>
      <c r="Q86" s="3"/>
      <c r="R86" s="3"/>
      <c r="S86" s="3"/>
      <c r="T86" s="3"/>
    </row>
    <row r="87" spans="1:20" x14ac:dyDescent="0.25">
      <c r="A87" s="54" t="s">
        <v>509</v>
      </c>
      <c r="B87" s="3">
        <v>80</v>
      </c>
      <c r="C87" s="73" t="str">
        <f t="shared" si="0"/>
        <v>38</v>
      </c>
      <c r="D87" s="3" t="s">
        <v>137</v>
      </c>
      <c r="E87" s="3"/>
      <c r="F87" s="3">
        <v>0</v>
      </c>
      <c r="G87" s="3">
        <v>2</v>
      </c>
      <c r="H87" s="3"/>
      <c r="I87" s="3" t="s">
        <v>93</v>
      </c>
      <c r="J87" s="3"/>
      <c r="K87" s="3" t="s">
        <v>500</v>
      </c>
      <c r="L87" s="3"/>
      <c r="M87" s="3"/>
      <c r="N87" s="3"/>
      <c r="O87" s="3"/>
      <c r="P87" s="3"/>
      <c r="Q87" s="3"/>
      <c r="R87" s="3"/>
      <c r="S87" s="3"/>
      <c r="T87" s="3"/>
    </row>
    <row r="88" spans="1:20" x14ac:dyDescent="0.25">
      <c r="A88" s="21" t="s">
        <v>562</v>
      </c>
      <c r="B88" s="3">
        <v>80</v>
      </c>
      <c r="C88" s="73" t="str">
        <f t="shared" si="0"/>
        <v>39</v>
      </c>
      <c r="D88" s="3" t="s">
        <v>128</v>
      </c>
      <c r="E88" s="3"/>
      <c r="F88" s="3"/>
      <c r="G88" s="3"/>
      <c r="H88" s="3"/>
      <c r="I88" s="3"/>
      <c r="J88" s="3"/>
      <c r="L88" s="3"/>
      <c r="M88" s="3"/>
      <c r="N88" s="3"/>
      <c r="O88" s="3"/>
      <c r="P88" s="3"/>
      <c r="Q88" s="3"/>
      <c r="R88" s="3"/>
      <c r="S88" s="3"/>
      <c r="T88" s="3"/>
    </row>
    <row r="89" spans="1:20" x14ac:dyDescent="0.25">
      <c r="A89" s="21" t="s">
        <v>563</v>
      </c>
      <c r="B89" s="3"/>
      <c r="C89" s="73" t="str">
        <f t="shared" si="0"/>
        <v>3A</v>
      </c>
      <c r="D89" s="3"/>
      <c r="E89" s="3"/>
      <c r="F89" s="3"/>
      <c r="G89" s="3"/>
      <c r="H89" s="3"/>
      <c r="I89" s="3"/>
      <c r="J89" s="3"/>
      <c r="L89" s="3"/>
      <c r="M89" s="3"/>
      <c r="N89" s="3"/>
      <c r="O89" s="3"/>
      <c r="P89" s="3"/>
      <c r="Q89" s="3"/>
      <c r="R89" s="3"/>
      <c r="S89" s="3"/>
      <c r="T89" s="3"/>
    </row>
    <row r="90" spans="1:20" x14ac:dyDescent="0.25">
      <c r="A90" s="21" t="s">
        <v>564</v>
      </c>
      <c r="B90" s="3"/>
      <c r="C90" s="73" t="str">
        <f t="shared" si="0"/>
        <v>3B</v>
      </c>
      <c r="D90" s="3"/>
      <c r="E90" s="3"/>
      <c r="F90" s="3"/>
      <c r="G90" s="3"/>
      <c r="H90" s="3"/>
      <c r="I90" s="3"/>
      <c r="J90" s="3"/>
      <c r="L90" s="3"/>
      <c r="M90" s="3"/>
      <c r="N90" s="3"/>
      <c r="O90" s="3"/>
      <c r="P90" s="3"/>
      <c r="Q90" s="3"/>
      <c r="R90" s="3"/>
      <c r="S90" s="3"/>
      <c r="T90" s="3"/>
    </row>
    <row r="91" spans="1:20" x14ac:dyDescent="0.25">
      <c r="A91" s="54" t="s">
        <v>510</v>
      </c>
      <c r="B91" s="3">
        <v>80</v>
      </c>
      <c r="C91" s="73" t="str">
        <f>DEC2HEX(HEX2DEC(C90)+1)</f>
        <v>3C</v>
      </c>
      <c r="D91" s="3" t="s">
        <v>137</v>
      </c>
      <c r="E91" s="3"/>
      <c r="F91" s="3">
        <v>0</v>
      </c>
      <c r="G91" s="3">
        <v>2</v>
      </c>
      <c r="H91" s="3"/>
      <c r="I91" s="3" t="s">
        <v>93</v>
      </c>
      <c r="J91" s="3"/>
      <c r="K91" s="3" t="s">
        <v>500</v>
      </c>
      <c r="L91" s="3"/>
      <c r="M91" s="3"/>
      <c r="N91" s="3"/>
      <c r="O91" s="3"/>
      <c r="P91" s="3"/>
      <c r="Q91" s="3"/>
      <c r="R91" s="3"/>
      <c r="S91" s="3"/>
      <c r="T91" s="3"/>
    </row>
    <row r="92" spans="1:20" x14ac:dyDescent="0.25">
      <c r="A92" s="21" t="s">
        <v>565</v>
      </c>
      <c r="B92" s="3">
        <v>80</v>
      </c>
      <c r="C92" s="73" t="str">
        <f t="shared" si="0"/>
        <v>3D</v>
      </c>
      <c r="D92" s="3" t="s">
        <v>128</v>
      </c>
      <c r="E92" s="3"/>
      <c r="F92" s="3"/>
      <c r="G92" s="3"/>
      <c r="H92" s="3"/>
      <c r="I92" s="3"/>
      <c r="J92" s="3"/>
      <c r="L92" s="3"/>
      <c r="M92" s="3"/>
      <c r="N92" s="3"/>
      <c r="O92" s="3"/>
      <c r="P92" s="3"/>
      <c r="Q92" s="3"/>
      <c r="R92" s="3"/>
      <c r="S92" s="3"/>
      <c r="T92" s="3"/>
    </row>
    <row r="93" spans="1:20" x14ac:dyDescent="0.25">
      <c r="A93" s="21" t="s">
        <v>566</v>
      </c>
      <c r="B93" s="3"/>
      <c r="C93" s="73" t="str">
        <f t="shared" si="0"/>
        <v>3E</v>
      </c>
      <c r="D93" s="3"/>
      <c r="E93" s="3"/>
      <c r="F93" s="3"/>
      <c r="G93" s="3"/>
      <c r="H93" s="3"/>
      <c r="I93" s="3"/>
      <c r="J93" s="3"/>
      <c r="L93" s="3"/>
      <c r="M93" s="3"/>
      <c r="N93" s="3"/>
      <c r="O93" s="3"/>
      <c r="P93" s="3"/>
      <c r="Q93" s="3"/>
      <c r="R93" s="3"/>
      <c r="S93" s="3"/>
      <c r="T93" s="3"/>
    </row>
    <row r="94" spans="1:20" x14ac:dyDescent="0.25">
      <c r="A94" s="21" t="s">
        <v>567</v>
      </c>
      <c r="B94" s="3"/>
      <c r="C94" s="73" t="str">
        <f t="shared" si="0"/>
        <v>3F</v>
      </c>
      <c r="D94" s="3"/>
      <c r="E94" s="3"/>
      <c r="F94" s="3"/>
      <c r="G94" s="3"/>
      <c r="H94" s="3"/>
      <c r="I94" s="3"/>
      <c r="J94" s="3"/>
      <c r="L94" s="3"/>
      <c r="M94" s="3"/>
      <c r="N94" s="3"/>
      <c r="O94" s="3"/>
      <c r="P94" s="3"/>
      <c r="Q94" s="3"/>
      <c r="R94" s="3"/>
      <c r="S94" s="3"/>
      <c r="T94" s="3"/>
    </row>
    <row r="95" spans="1:20" x14ac:dyDescent="0.25">
      <c r="A95" s="50" t="s">
        <v>167</v>
      </c>
      <c r="B95" s="3">
        <v>80</v>
      </c>
      <c r="C95" s="73" t="str">
        <f t="shared" si="0"/>
        <v>40</v>
      </c>
      <c r="D95" s="3" t="s">
        <v>240</v>
      </c>
      <c r="E95" s="3"/>
      <c r="F95" s="3"/>
      <c r="G95" s="3"/>
      <c r="H95" s="3"/>
      <c r="I95" s="3"/>
      <c r="J95" s="3"/>
      <c r="L95" s="3"/>
      <c r="M95" s="3"/>
      <c r="N95" s="3"/>
      <c r="O95" s="3"/>
      <c r="P95" s="3"/>
      <c r="Q95" s="3"/>
      <c r="R95" s="3"/>
      <c r="S95" s="3"/>
      <c r="T95" s="3"/>
    </row>
    <row r="96" spans="1:20" x14ac:dyDescent="0.25">
      <c r="A96" s="37" t="s">
        <v>574</v>
      </c>
      <c r="B96" s="3">
        <v>80</v>
      </c>
      <c r="C96" s="73" t="str">
        <f t="shared" si="0"/>
        <v>41</v>
      </c>
      <c r="D96" s="3" t="s">
        <v>137</v>
      </c>
      <c r="E96" s="3"/>
      <c r="F96" s="3">
        <v>0</v>
      </c>
      <c r="G96" s="3">
        <v>7</v>
      </c>
      <c r="H96" s="3"/>
      <c r="I96" s="3" t="s">
        <v>93</v>
      </c>
      <c r="J96" s="3"/>
      <c r="K96" s="3" t="s">
        <v>581</v>
      </c>
      <c r="L96" s="3"/>
      <c r="M96" s="3"/>
      <c r="N96" s="3"/>
      <c r="O96" s="3"/>
      <c r="P96" s="3"/>
      <c r="Q96" s="3"/>
      <c r="R96" s="3"/>
      <c r="S96" s="3"/>
      <c r="T96" s="3"/>
    </row>
    <row r="97" spans="1:20" x14ac:dyDescent="0.25">
      <c r="A97" s="43" t="s">
        <v>568</v>
      </c>
      <c r="B97" s="3">
        <v>80</v>
      </c>
      <c r="C97" s="73" t="str">
        <f t="shared" si="0"/>
        <v>42</v>
      </c>
      <c r="D97" s="3"/>
      <c r="E97" s="3"/>
      <c r="F97" s="3"/>
      <c r="G97" s="3"/>
      <c r="H97" s="3"/>
      <c r="I97" s="3"/>
      <c r="J97" s="3" t="s">
        <v>479</v>
      </c>
      <c r="L97" s="3"/>
      <c r="M97" s="3"/>
      <c r="N97" s="3"/>
      <c r="O97" s="3"/>
      <c r="P97" s="3"/>
      <c r="Q97" s="3"/>
      <c r="R97" s="3"/>
      <c r="S97" s="3"/>
      <c r="T97" s="3"/>
    </row>
    <row r="98" spans="1:20" x14ac:dyDescent="0.25">
      <c r="A98" s="43" t="s">
        <v>531</v>
      </c>
      <c r="B98" s="3">
        <v>80</v>
      </c>
      <c r="C98" s="73" t="str">
        <f t="shared" si="0"/>
        <v>43</v>
      </c>
      <c r="D98" s="3"/>
      <c r="E98" s="3"/>
      <c r="F98" s="3"/>
      <c r="G98" s="3"/>
      <c r="H98" s="3"/>
      <c r="I98" s="3"/>
      <c r="J98" s="3" t="s">
        <v>479</v>
      </c>
      <c r="L98" s="3"/>
      <c r="M98" s="3"/>
      <c r="N98" s="3"/>
      <c r="O98" s="3"/>
      <c r="P98" s="3"/>
      <c r="Q98" s="3"/>
      <c r="R98" s="3"/>
      <c r="S98" s="3"/>
      <c r="T98" s="3"/>
    </row>
    <row r="99" spans="1:20" x14ac:dyDescent="0.25">
      <c r="A99" s="43" t="s">
        <v>532</v>
      </c>
      <c r="B99" s="3">
        <v>80</v>
      </c>
      <c r="C99" s="73" t="str">
        <f t="shared" ref="C99:C104" si="1">DEC2HEX(HEX2DEC(C98)+1)</f>
        <v>44</v>
      </c>
      <c r="D99" s="3"/>
      <c r="E99" s="3"/>
      <c r="F99" s="3"/>
      <c r="G99" s="3"/>
      <c r="H99" s="3"/>
      <c r="I99" s="3"/>
      <c r="J99" s="3" t="s">
        <v>479</v>
      </c>
      <c r="L99" s="3"/>
      <c r="M99" s="3"/>
      <c r="N99" s="3"/>
      <c r="O99" s="3"/>
      <c r="P99" s="3"/>
      <c r="Q99" s="3"/>
      <c r="R99" s="3"/>
      <c r="S99" s="3"/>
      <c r="T99" s="3"/>
    </row>
    <row r="100" spans="1:20" x14ac:dyDescent="0.25">
      <c r="A100" s="43" t="s">
        <v>533</v>
      </c>
      <c r="B100" s="3">
        <v>80</v>
      </c>
      <c r="C100" s="73" t="str">
        <f t="shared" si="1"/>
        <v>45</v>
      </c>
      <c r="D100" s="3"/>
      <c r="E100" s="3"/>
      <c r="F100" s="3"/>
      <c r="G100" s="3"/>
      <c r="H100" s="3"/>
      <c r="I100" s="3"/>
      <c r="J100" s="3" t="s">
        <v>479</v>
      </c>
      <c r="L100" s="3"/>
      <c r="M100" s="3"/>
      <c r="N100" s="3"/>
      <c r="O100" s="3"/>
      <c r="P100" s="3"/>
      <c r="Q100" s="3"/>
      <c r="R100" s="3"/>
      <c r="S100" s="3"/>
      <c r="T100" s="3"/>
    </row>
    <row r="101" spans="1:20" x14ac:dyDescent="0.25">
      <c r="A101" s="43" t="s">
        <v>534</v>
      </c>
      <c r="B101" s="3">
        <v>80</v>
      </c>
      <c r="C101" s="73" t="str">
        <f t="shared" si="1"/>
        <v>46</v>
      </c>
      <c r="D101" s="3"/>
      <c r="E101" s="3"/>
      <c r="F101" s="3"/>
      <c r="G101" s="3"/>
      <c r="H101" s="3"/>
      <c r="I101" s="3"/>
      <c r="J101" s="3" t="s">
        <v>479</v>
      </c>
      <c r="L101" s="3"/>
      <c r="M101" s="3"/>
      <c r="N101" s="3"/>
      <c r="O101" s="3"/>
      <c r="P101" s="3"/>
      <c r="Q101" s="3"/>
      <c r="R101" s="3"/>
      <c r="S101" s="3"/>
      <c r="T101" s="3"/>
    </row>
    <row r="102" spans="1:20" x14ac:dyDescent="0.25">
      <c r="A102" s="43" t="s">
        <v>535</v>
      </c>
      <c r="B102" s="3">
        <v>80</v>
      </c>
      <c r="C102" s="73" t="str">
        <f t="shared" si="1"/>
        <v>47</v>
      </c>
      <c r="D102" s="3"/>
      <c r="E102" s="3"/>
      <c r="F102" s="3"/>
      <c r="G102" s="3"/>
      <c r="H102" s="3"/>
      <c r="I102" s="3"/>
      <c r="J102" s="3" t="s">
        <v>479</v>
      </c>
      <c r="L102" s="3"/>
      <c r="M102" s="3"/>
      <c r="N102" s="3"/>
      <c r="O102" s="3"/>
      <c r="P102" s="3"/>
      <c r="Q102" s="3"/>
      <c r="R102" s="3"/>
      <c r="S102" s="3"/>
      <c r="T102" s="3"/>
    </row>
    <row r="103" spans="1:20" x14ac:dyDescent="0.25">
      <c r="A103" s="43" t="s">
        <v>536</v>
      </c>
      <c r="B103" s="3">
        <v>80</v>
      </c>
      <c r="C103" s="73" t="str">
        <f t="shared" si="1"/>
        <v>48</v>
      </c>
      <c r="D103" s="3"/>
      <c r="E103" s="3"/>
      <c r="F103" s="3"/>
      <c r="G103" s="3"/>
      <c r="H103" s="3"/>
      <c r="I103" s="3"/>
      <c r="J103" s="3" t="s">
        <v>479</v>
      </c>
      <c r="L103" s="3"/>
      <c r="M103" s="3"/>
      <c r="N103" s="3"/>
      <c r="O103" s="3"/>
      <c r="P103" s="3"/>
      <c r="Q103" s="3"/>
      <c r="R103" s="3"/>
      <c r="S103" s="3"/>
      <c r="T103" s="3"/>
    </row>
    <row r="104" spans="1:20" x14ac:dyDescent="0.25">
      <c r="A104" s="43" t="s">
        <v>537</v>
      </c>
      <c r="B104" s="3">
        <v>80</v>
      </c>
      <c r="C104" s="73" t="str">
        <f t="shared" si="1"/>
        <v>49</v>
      </c>
      <c r="D104" s="3"/>
      <c r="E104" s="3"/>
      <c r="F104" s="3"/>
      <c r="G104" s="3"/>
      <c r="H104" s="3"/>
      <c r="I104" s="3"/>
      <c r="J104" s="3" t="s">
        <v>479</v>
      </c>
      <c r="L104" s="3"/>
      <c r="M104" s="3"/>
      <c r="N104" s="3"/>
      <c r="O104" s="3"/>
      <c r="P104" s="3"/>
      <c r="Q104" s="3"/>
      <c r="R104" s="3"/>
      <c r="S104" s="3"/>
      <c r="T104" s="3"/>
    </row>
    <row r="105" spans="1:20" x14ac:dyDescent="0.25">
      <c r="A105" s="43" t="s">
        <v>538</v>
      </c>
      <c r="B105" s="3">
        <v>80</v>
      </c>
      <c r="C105" s="73" t="str">
        <f>DEC2HEX(HEX2DEC(C104)+1)</f>
        <v>4A</v>
      </c>
      <c r="D105" s="3"/>
      <c r="E105" s="3"/>
      <c r="F105" s="3"/>
      <c r="G105" s="3"/>
      <c r="H105" s="3"/>
      <c r="I105" s="3"/>
      <c r="J105" s="3" t="s">
        <v>479</v>
      </c>
      <c r="L105" s="3"/>
      <c r="M105" s="3"/>
      <c r="N105" s="3"/>
      <c r="O105" s="3"/>
      <c r="P105" s="3"/>
      <c r="Q105" s="3"/>
      <c r="R105" s="3"/>
      <c r="S105" s="3"/>
      <c r="T105" s="3"/>
    </row>
    <row r="106" spans="1:20" x14ac:dyDescent="0.25">
      <c r="A106" s="54" t="s">
        <v>539</v>
      </c>
      <c r="B106" s="3">
        <v>80</v>
      </c>
      <c r="C106" s="73" t="str">
        <f t="shared" ref="C106:C117" si="2">DEC2HEX(HEX2DEC(C105)+1)</f>
        <v>4B</v>
      </c>
      <c r="D106" s="3"/>
      <c r="E106" s="3"/>
      <c r="F106" s="3"/>
      <c r="G106" s="3"/>
      <c r="H106" s="3"/>
      <c r="I106" s="3"/>
      <c r="J106" s="3" t="s">
        <v>479</v>
      </c>
      <c r="L106" s="3"/>
      <c r="M106" s="3"/>
      <c r="N106" s="3"/>
      <c r="O106" s="3"/>
      <c r="P106" s="3"/>
      <c r="Q106" s="3"/>
      <c r="R106" s="3"/>
      <c r="S106" s="3"/>
      <c r="T106" s="3"/>
    </row>
    <row r="107" spans="1:20" x14ac:dyDescent="0.25">
      <c r="A107" s="54" t="s">
        <v>540</v>
      </c>
      <c r="B107" s="3">
        <v>80</v>
      </c>
      <c r="C107" s="73" t="str">
        <f t="shared" si="2"/>
        <v>4C</v>
      </c>
      <c r="D107" s="3"/>
      <c r="E107" s="3"/>
      <c r="F107" s="3"/>
      <c r="G107" s="3"/>
      <c r="H107" s="3"/>
      <c r="I107" s="3"/>
      <c r="J107" s="3" t="s">
        <v>479</v>
      </c>
      <c r="L107" s="3"/>
      <c r="M107" s="3"/>
      <c r="N107" s="3"/>
      <c r="O107" s="3"/>
      <c r="P107" s="3"/>
      <c r="Q107" s="3"/>
      <c r="R107" s="3"/>
      <c r="S107" s="3"/>
      <c r="T107" s="3"/>
    </row>
    <row r="108" spans="1:20" x14ac:dyDescent="0.25">
      <c r="A108" s="37" t="s">
        <v>640</v>
      </c>
      <c r="B108" s="3">
        <v>80</v>
      </c>
      <c r="C108" s="73" t="str">
        <f t="shared" si="2"/>
        <v>4D</v>
      </c>
      <c r="D108" s="3" t="s">
        <v>140</v>
      </c>
      <c r="E108" s="3"/>
      <c r="F108" s="3">
        <v>0</v>
      </c>
      <c r="G108" s="3">
        <v>1</v>
      </c>
      <c r="H108" s="3"/>
      <c r="I108" s="3" t="s">
        <v>87</v>
      </c>
      <c r="J108" s="3"/>
      <c r="K108" s="3" t="s">
        <v>641</v>
      </c>
      <c r="L108" s="3"/>
      <c r="M108" s="3"/>
      <c r="N108" s="3"/>
      <c r="O108" s="3"/>
      <c r="P108" s="3"/>
      <c r="Q108" s="3"/>
      <c r="R108" s="3"/>
      <c r="S108" s="3"/>
      <c r="T108" s="3"/>
    </row>
    <row r="109" spans="1:20" x14ac:dyDescent="0.25">
      <c r="A109" s="54" t="s">
        <v>375</v>
      </c>
      <c r="B109" s="3">
        <v>80</v>
      </c>
      <c r="C109" s="73" t="str">
        <f t="shared" si="2"/>
        <v>4E</v>
      </c>
      <c r="D109" s="3"/>
      <c r="E109" s="3"/>
      <c r="F109" s="3"/>
      <c r="G109" s="3"/>
      <c r="H109" s="3"/>
      <c r="I109" s="3"/>
      <c r="J109" s="3" t="s">
        <v>479</v>
      </c>
      <c r="L109" s="3"/>
      <c r="M109" s="3"/>
      <c r="N109" s="3"/>
      <c r="O109" s="3"/>
      <c r="P109" s="3"/>
      <c r="Q109" s="3"/>
      <c r="R109" s="3"/>
      <c r="S109" s="3"/>
      <c r="T109" s="3"/>
    </row>
    <row r="110" spans="1:20" x14ac:dyDescent="0.25">
      <c r="A110" s="54" t="s">
        <v>376</v>
      </c>
      <c r="B110" s="3">
        <v>80</v>
      </c>
      <c r="C110" s="73" t="str">
        <f t="shared" si="2"/>
        <v>4F</v>
      </c>
      <c r="D110" s="3"/>
      <c r="E110" s="3"/>
      <c r="F110" s="3"/>
      <c r="G110" s="3"/>
      <c r="H110" s="3"/>
      <c r="I110" s="3"/>
      <c r="J110" s="3" t="s">
        <v>479</v>
      </c>
      <c r="L110" s="3"/>
      <c r="M110" s="3"/>
      <c r="N110" s="3"/>
      <c r="O110" s="3"/>
      <c r="P110" s="3"/>
      <c r="Q110" s="3"/>
      <c r="R110" s="3"/>
      <c r="S110" s="3"/>
      <c r="T110" s="3"/>
    </row>
    <row r="111" spans="1:20" x14ac:dyDescent="0.25">
      <c r="A111" s="54" t="s">
        <v>377</v>
      </c>
      <c r="B111" s="3">
        <v>80</v>
      </c>
      <c r="C111" s="73" t="str">
        <f t="shared" si="2"/>
        <v>50</v>
      </c>
      <c r="D111" s="3"/>
      <c r="E111" s="3"/>
      <c r="F111" s="3"/>
      <c r="G111" s="3"/>
      <c r="H111" s="3"/>
      <c r="I111" s="3"/>
      <c r="J111" s="3" t="s">
        <v>479</v>
      </c>
      <c r="L111" s="3"/>
      <c r="M111" s="3"/>
      <c r="N111" s="3"/>
      <c r="O111" s="3"/>
      <c r="P111" s="3"/>
      <c r="Q111" s="3"/>
      <c r="R111" s="3"/>
      <c r="S111" s="3"/>
      <c r="T111" s="3"/>
    </row>
    <row r="112" spans="1:20" x14ac:dyDescent="0.25">
      <c r="A112" s="54" t="s">
        <v>378</v>
      </c>
      <c r="B112" s="3">
        <v>80</v>
      </c>
      <c r="C112" s="73" t="str">
        <f t="shared" si="2"/>
        <v>51</v>
      </c>
      <c r="D112" s="3"/>
      <c r="E112" s="3"/>
      <c r="F112" s="3"/>
      <c r="G112" s="3"/>
      <c r="H112" s="3"/>
      <c r="I112" s="3"/>
      <c r="J112" s="3" t="s">
        <v>479</v>
      </c>
      <c r="L112" s="3"/>
      <c r="M112" s="3"/>
      <c r="N112" s="3"/>
      <c r="O112" s="3"/>
      <c r="P112" s="3"/>
      <c r="Q112" s="3"/>
      <c r="R112" s="3"/>
      <c r="S112" s="3"/>
      <c r="T112" s="3"/>
    </row>
    <row r="113" spans="1:20" x14ac:dyDescent="0.25">
      <c r="A113" s="37" t="s">
        <v>632</v>
      </c>
      <c r="B113" s="3">
        <v>80</v>
      </c>
      <c r="C113" s="73" t="str">
        <f t="shared" si="2"/>
        <v>52</v>
      </c>
      <c r="D113" s="3" t="s">
        <v>240</v>
      </c>
      <c r="E113" s="3"/>
      <c r="F113" s="3">
        <v>0</v>
      </c>
      <c r="G113" s="3">
        <v>32767</v>
      </c>
      <c r="H113" s="3" t="s">
        <v>633</v>
      </c>
      <c r="I113" s="3" t="s">
        <v>87</v>
      </c>
      <c r="J113" s="3"/>
      <c r="L113" s="3"/>
      <c r="M113" s="3"/>
      <c r="N113" s="3"/>
      <c r="O113" s="3"/>
      <c r="P113" s="3"/>
      <c r="Q113" s="3"/>
      <c r="R113" s="3"/>
      <c r="S113" s="3"/>
      <c r="T113" s="3"/>
    </row>
    <row r="114" spans="1:20" x14ac:dyDescent="0.25">
      <c r="A114" s="37" t="s">
        <v>642</v>
      </c>
      <c r="B114" s="3">
        <v>80</v>
      </c>
      <c r="C114" s="73" t="str">
        <f t="shared" si="2"/>
        <v>53</v>
      </c>
      <c r="D114" s="3" t="s">
        <v>240</v>
      </c>
      <c r="E114" s="3"/>
      <c r="F114" s="3">
        <v>0</v>
      </c>
      <c r="G114" s="3">
        <v>32767</v>
      </c>
      <c r="H114" s="3" t="s">
        <v>633</v>
      </c>
      <c r="I114" s="3" t="s">
        <v>93</v>
      </c>
      <c r="J114" s="3"/>
      <c r="L114" s="3"/>
      <c r="M114" s="3"/>
      <c r="N114" s="3"/>
      <c r="O114" s="3"/>
      <c r="P114" s="3"/>
      <c r="Q114" s="3"/>
      <c r="R114" s="3"/>
      <c r="S114" s="3"/>
      <c r="T114" s="3"/>
    </row>
    <row r="115" spans="1:20" x14ac:dyDescent="0.25">
      <c r="A115" s="37" t="s">
        <v>643</v>
      </c>
      <c r="B115" s="3">
        <v>80</v>
      </c>
      <c r="C115" s="73" t="str">
        <f t="shared" si="2"/>
        <v>54</v>
      </c>
      <c r="D115" s="3" t="s">
        <v>240</v>
      </c>
      <c r="E115" s="3"/>
      <c r="F115" s="3">
        <v>0</v>
      </c>
      <c r="G115" s="3">
        <v>32767</v>
      </c>
      <c r="H115" s="3" t="s">
        <v>633</v>
      </c>
      <c r="I115" s="3" t="s">
        <v>93</v>
      </c>
      <c r="J115" s="3"/>
      <c r="L115" s="3"/>
      <c r="M115" s="3"/>
      <c r="N115" s="3"/>
      <c r="O115" s="3"/>
      <c r="P115" s="3"/>
      <c r="Q115" s="3"/>
      <c r="R115" s="3"/>
      <c r="S115" s="3"/>
      <c r="T115" s="3"/>
    </row>
    <row r="116" spans="1:20" x14ac:dyDescent="0.25">
      <c r="A116" s="15" t="s">
        <v>645</v>
      </c>
      <c r="B116" s="3">
        <v>80</v>
      </c>
      <c r="C116" s="73" t="str">
        <f t="shared" si="2"/>
        <v>55</v>
      </c>
      <c r="D116" s="3" t="s">
        <v>225</v>
      </c>
      <c r="E116" s="3"/>
      <c r="F116" s="3" t="s">
        <v>646</v>
      </c>
      <c r="G116" s="3" t="s">
        <v>647</v>
      </c>
      <c r="H116" s="3" t="s">
        <v>648</v>
      </c>
      <c r="I116" s="3" t="s">
        <v>87</v>
      </c>
      <c r="J116" s="3"/>
      <c r="K116" s="3" t="s">
        <v>649</v>
      </c>
      <c r="L116" s="3"/>
      <c r="M116" s="3"/>
      <c r="N116" s="3"/>
      <c r="O116" s="3"/>
      <c r="P116" s="3"/>
      <c r="Q116" s="3"/>
      <c r="R116" s="3"/>
      <c r="S116" s="3"/>
      <c r="T116" s="3"/>
    </row>
    <row r="117" spans="1:20" x14ac:dyDescent="0.25">
      <c r="A117" s="15" t="s">
        <v>659</v>
      </c>
      <c r="B117" s="3">
        <v>80</v>
      </c>
      <c r="C117" s="73" t="str">
        <f t="shared" si="2"/>
        <v>56</v>
      </c>
      <c r="D117" s="3" t="s">
        <v>225</v>
      </c>
      <c r="E117" s="3"/>
      <c r="F117" s="3" t="s">
        <v>646</v>
      </c>
      <c r="G117" s="3" t="s">
        <v>647</v>
      </c>
      <c r="H117" s="3" t="s">
        <v>648</v>
      </c>
      <c r="I117" s="3" t="s">
        <v>87</v>
      </c>
      <c r="J117" s="3"/>
      <c r="K117" s="3" t="s">
        <v>650</v>
      </c>
      <c r="L117" s="3"/>
      <c r="M117" s="3"/>
      <c r="N117" s="3"/>
      <c r="O117" s="3"/>
      <c r="P117" s="3"/>
      <c r="Q117" s="3"/>
      <c r="R117" s="3"/>
      <c r="S117" s="3"/>
      <c r="T117" s="3"/>
    </row>
    <row r="118" spans="1:20" x14ac:dyDescent="0.25">
      <c r="A118" s="50" t="s">
        <v>660</v>
      </c>
      <c r="B118" s="3">
        <v>80</v>
      </c>
      <c r="C118" s="73" t="str">
        <f>DEC2HEX(HEX2DEC(C117)+1)</f>
        <v>57</v>
      </c>
      <c r="D118" s="3" t="s">
        <v>131</v>
      </c>
      <c r="E118" s="3"/>
      <c r="F118" s="3"/>
      <c r="G118" s="3"/>
      <c r="H118" s="3" t="s">
        <v>661</v>
      </c>
      <c r="I118" s="3" t="s">
        <v>93</v>
      </c>
      <c r="J118" s="3"/>
      <c r="K118" s="3" t="s">
        <v>662</v>
      </c>
      <c r="L118" s="3"/>
      <c r="M118" s="3"/>
      <c r="N118" s="3"/>
      <c r="O118" s="3"/>
      <c r="P118" s="3"/>
      <c r="Q118" s="3"/>
      <c r="R118" s="3"/>
      <c r="S118" s="3"/>
      <c r="T118" s="3"/>
    </row>
    <row r="119" spans="1:20" x14ac:dyDescent="0.25">
      <c r="A119" s="75" t="s">
        <v>667</v>
      </c>
      <c r="B119" s="3">
        <v>80</v>
      </c>
      <c r="C119" s="73" t="str">
        <f t="shared" ref="C119:C143" si="3">DEC2HEX(HEX2DEC(C118)+1)</f>
        <v>58</v>
      </c>
      <c r="D119" s="3" t="s">
        <v>140</v>
      </c>
      <c r="E119" s="3"/>
      <c r="F119" s="3">
        <v>0</v>
      </c>
      <c r="G119" s="3">
        <v>1</v>
      </c>
      <c r="H119" s="3"/>
      <c r="I119" s="3" t="s">
        <v>87</v>
      </c>
      <c r="J119" s="3"/>
      <c r="K119" s="8" t="s">
        <v>673</v>
      </c>
    </row>
    <row r="120" spans="1:20" x14ac:dyDescent="0.25">
      <c r="A120" s="37" t="s">
        <v>668</v>
      </c>
      <c r="B120" s="3">
        <v>80</v>
      </c>
      <c r="C120" s="73" t="str">
        <f t="shared" si="3"/>
        <v>59</v>
      </c>
      <c r="D120" s="3" t="s">
        <v>240</v>
      </c>
      <c r="E120" s="3"/>
      <c r="F120" s="3">
        <v>20</v>
      </c>
      <c r="G120" s="3">
        <v>600</v>
      </c>
      <c r="H120" s="3" t="s">
        <v>671</v>
      </c>
      <c r="I120" s="3" t="s">
        <v>87</v>
      </c>
      <c r="J120" s="3"/>
      <c r="K120" s="8"/>
    </row>
    <row r="121" spans="1:20" x14ac:dyDescent="0.25">
      <c r="A121" s="37" t="s">
        <v>669</v>
      </c>
      <c r="B121" s="3">
        <v>80</v>
      </c>
      <c r="C121" s="73" t="str">
        <f t="shared" si="3"/>
        <v>5A</v>
      </c>
      <c r="D121" s="3" t="s">
        <v>140</v>
      </c>
      <c r="E121" s="3"/>
      <c r="F121" s="3">
        <v>0</v>
      </c>
      <c r="G121" s="3">
        <v>1</v>
      </c>
      <c r="H121" s="3"/>
      <c r="I121" s="3" t="s">
        <v>87</v>
      </c>
      <c r="J121" s="3"/>
      <c r="K121" s="8" t="s">
        <v>674</v>
      </c>
    </row>
    <row r="122" spans="1:20" x14ac:dyDescent="0.25">
      <c r="A122" s="37" t="s">
        <v>670</v>
      </c>
      <c r="B122" s="3">
        <v>80</v>
      </c>
      <c r="C122" s="73" t="str">
        <f t="shared" si="3"/>
        <v>5B</v>
      </c>
      <c r="D122" s="3" t="s">
        <v>240</v>
      </c>
      <c r="E122" s="3"/>
      <c r="F122" s="3">
        <v>20</v>
      </c>
      <c r="G122" s="3">
        <v>600</v>
      </c>
      <c r="H122" s="3" t="s">
        <v>671</v>
      </c>
      <c r="I122" s="3" t="s">
        <v>87</v>
      </c>
      <c r="J122" s="3"/>
    </row>
    <row r="123" spans="1:20" x14ac:dyDescent="0.25">
      <c r="A123" s="54" t="s">
        <v>672</v>
      </c>
      <c r="B123" s="3">
        <v>80</v>
      </c>
      <c r="C123" s="73" t="str">
        <f t="shared" si="3"/>
        <v>5C</v>
      </c>
      <c r="D123" s="3" t="s">
        <v>140</v>
      </c>
      <c r="E123" s="3"/>
      <c r="F123" s="3">
        <v>0</v>
      </c>
      <c r="G123" s="3">
        <v>1</v>
      </c>
      <c r="H123" s="3"/>
      <c r="I123" s="3" t="s">
        <v>87</v>
      </c>
      <c r="J123" s="3"/>
      <c r="K123" s="3" t="s">
        <v>664</v>
      </c>
    </row>
    <row r="124" spans="1:20" x14ac:dyDescent="0.25">
      <c r="A124" s="37" t="s">
        <v>663</v>
      </c>
      <c r="B124" s="3">
        <v>80</v>
      </c>
      <c r="C124" s="73" t="str">
        <f t="shared" si="3"/>
        <v>5D</v>
      </c>
      <c r="D124" s="3" t="s">
        <v>140</v>
      </c>
      <c r="E124" s="3"/>
      <c r="F124" s="3">
        <v>0</v>
      </c>
      <c r="G124" s="3">
        <v>1</v>
      </c>
      <c r="H124" s="3"/>
      <c r="I124" s="3" t="s">
        <v>87</v>
      </c>
      <c r="J124" s="3"/>
      <c r="K124" s="3" t="s">
        <v>664</v>
      </c>
    </row>
    <row r="125" spans="1:20" x14ac:dyDescent="0.25">
      <c r="A125" s="54" t="s">
        <v>665</v>
      </c>
      <c r="B125" s="3">
        <v>80</v>
      </c>
      <c r="C125" s="73" t="str">
        <f t="shared" si="3"/>
        <v>5E</v>
      </c>
      <c r="D125" s="3" t="s">
        <v>140</v>
      </c>
      <c r="E125" s="3"/>
      <c r="F125" s="3">
        <v>0</v>
      </c>
      <c r="G125" s="3">
        <v>1</v>
      </c>
      <c r="H125" s="3"/>
      <c r="I125" s="3" t="s">
        <v>87</v>
      </c>
      <c r="J125" s="3"/>
      <c r="K125" s="3" t="s">
        <v>666</v>
      </c>
    </row>
    <row r="126" spans="1:20" x14ac:dyDescent="0.25">
      <c r="A126" s="37" t="s">
        <v>689</v>
      </c>
      <c r="B126" s="3">
        <v>80</v>
      </c>
      <c r="C126" s="73" t="str">
        <f t="shared" si="3"/>
        <v>5F</v>
      </c>
      <c r="D126" s="3" t="s">
        <v>140</v>
      </c>
      <c r="E126" s="3"/>
      <c r="F126" s="3">
        <v>0</v>
      </c>
      <c r="G126" s="3">
        <v>1</v>
      </c>
      <c r="H126" s="3"/>
      <c r="I126" s="3" t="s">
        <v>87</v>
      </c>
      <c r="J126" s="3"/>
      <c r="K126" s="3" t="s">
        <v>690</v>
      </c>
    </row>
    <row r="127" spans="1:20" x14ac:dyDescent="0.25">
      <c r="A127" s="37" t="s">
        <v>691</v>
      </c>
      <c r="B127" s="3">
        <v>80</v>
      </c>
      <c r="C127" s="73" t="str">
        <f t="shared" si="3"/>
        <v>60</v>
      </c>
      <c r="D127" s="3" t="s">
        <v>140</v>
      </c>
      <c r="E127" s="3"/>
      <c r="F127" s="3">
        <v>0</v>
      </c>
      <c r="G127" s="3">
        <v>1</v>
      </c>
      <c r="H127" s="3"/>
      <c r="I127" s="3" t="s">
        <v>87</v>
      </c>
      <c r="J127" s="3"/>
      <c r="K127" s="3" t="s">
        <v>692</v>
      </c>
    </row>
    <row r="128" spans="1:20" customFormat="1" x14ac:dyDescent="0.25">
      <c r="A128" s="37" t="s">
        <v>693</v>
      </c>
      <c r="B128" s="3">
        <v>80</v>
      </c>
      <c r="C128" s="73" t="str">
        <f t="shared" si="3"/>
        <v>61</v>
      </c>
      <c r="D128" s="3" t="s">
        <v>131</v>
      </c>
      <c r="E128" s="3" t="s">
        <v>711</v>
      </c>
      <c r="F128" s="3">
        <v>0</v>
      </c>
      <c r="G128" s="3">
        <v>16777215</v>
      </c>
      <c r="H128" s="3" t="s">
        <v>711</v>
      </c>
      <c r="I128" s="3" t="s">
        <v>87</v>
      </c>
      <c r="J128" s="3"/>
      <c r="K128" s="3" t="s">
        <v>694</v>
      </c>
      <c r="L128" s="3"/>
      <c r="M128" s="3"/>
      <c r="N128" s="3"/>
      <c r="O128" s="3"/>
      <c r="P128" s="3"/>
      <c r="Q128" s="3"/>
      <c r="R128" s="3"/>
      <c r="S128" s="3"/>
      <c r="T128" s="3"/>
    </row>
    <row r="129" spans="1:20" customFormat="1" x14ac:dyDescent="0.25">
      <c r="A129" s="37" t="s">
        <v>695</v>
      </c>
      <c r="B129" s="3">
        <v>80</v>
      </c>
      <c r="C129" s="73" t="str">
        <f t="shared" si="3"/>
        <v>62</v>
      </c>
      <c r="D129" s="3" t="s">
        <v>131</v>
      </c>
      <c r="E129" s="3" t="s">
        <v>711</v>
      </c>
      <c r="F129" s="3">
        <v>0</v>
      </c>
      <c r="G129" s="3">
        <v>16777215</v>
      </c>
      <c r="H129" s="3" t="s">
        <v>711</v>
      </c>
      <c r="I129" s="3" t="s">
        <v>87</v>
      </c>
      <c r="J129" s="3"/>
      <c r="K129" s="3" t="s">
        <v>694</v>
      </c>
      <c r="L129" s="3"/>
      <c r="M129" s="3"/>
      <c r="N129" s="3"/>
      <c r="O129" s="3"/>
      <c r="P129" s="3"/>
      <c r="Q129" s="3"/>
      <c r="R129" s="3"/>
      <c r="S129" s="3"/>
      <c r="T129" s="3"/>
    </row>
    <row r="130" spans="1:20" x14ac:dyDescent="0.25">
      <c r="A130" s="37" t="s">
        <v>696</v>
      </c>
      <c r="B130" s="3">
        <v>80</v>
      </c>
      <c r="C130" s="73" t="str">
        <f t="shared" si="3"/>
        <v>63</v>
      </c>
      <c r="D130" s="3" t="s">
        <v>140</v>
      </c>
      <c r="E130" s="3"/>
      <c r="F130" s="3">
        <v>0</v>
      </c>
      <c r="G130" s="3">
        <v>1</v>
      </c>
      <c r="H130" s="3"/>
      <c r="I130" s="3" t="s">
        <v>93</v>
      </c>
      <c r="J130" s="3"/>
      <c r="K130" s="3" t="s">
        <v>709</v>
      </c>
    </row>
    <row r="131" spans="1:20" x14ac:dyDescent="0.25">
      <c r="A131" s="37" t="s">
        <v>697</v>
      </c>
      <c r="B131" s="3">
        <v>80</v>
      </c>
      <c r="C131" s="73" t="str">
        <f t="shared" si="3"/>
        <v>64</v>
      </c>
      <c r="D131" s="3" t="s">
        <v>140</v>
      </c>
      <c r="E131" s="3"/>
      <c r="F131" s="3">
        <v>0</v>
      </c>
      <c r="G131" s="3">
        <v>1</v>
      </c>
      <c r="H131" s="3"/>
      <c r="I131" s="3" t="s">
        <v>93</v>
      </c>
      <c r="J131" s="3"/>
      <c r="K131" s="3" t="s">
        <v>709</v>
      </c>
    </row>
    <row r="132" spans="1:20" x14ac:dyDescent="0.25">
      <c r="A132" s="37" t="s">
        <v>698</v>
      </c>
      <c r="B132" s="3">
        <v>80</v>
      </c>
      <c r="C132" s="73" t="str">
        <f t="shared" si="3"/>
        <v>65</v>
      </c>
      <c r="D132" s="3" t="s">
        <v>140</v>
      </c>
      <c r="E132" s="3"/>
      <c r="F132" s="3">
        <v>0</v>
      </c>
      <c r="G132" s="3">
        <v>1</v>
      </c>
      <c r="H132" s="3"/>
      <c r="I132" s="3" t="s">
        <v>93</v>
      </c>
      <c r="J132" s="3"/>
      <c r="K132" s="3" t="s">
        <v>709</v>
      </c>
    </row>
    <row r="133" spans="1:20" x14ac:dyDescent="0.25">
      <c r="A133" s="37" t="s">
        <v>699</v>
      </c>
      <c r="B133" s="3">
        <v>80</v>
      </c>
      <c r="C133" s="73" t="str">
        <f t="shared" si="3"/>
        <v>66</v>
      </c>
      <c r="D133" s="3" t="s">
        <v>140</v>
      </c>
      <c r="E133" s="3"/>
      <c r="F133" s="3">
        <v>0</v>
      </c>
      <c r="G133" s="3">
        <v>1</v>
      </c>
      <c r="H133" s="3"/>
      <c r="I133" s="3" t="s">
        <v>93</v>
      </c>
      <c r="J133" s="3"/>
      <c r="K133" s="3" t="s">
        <v>709</v>
      </c>
    </row>
    <row r="134" spans="1:20" x14ac:dyDescent="0.25">
      <c r="A134" s="37" t="s">
        <v>700</v>
      </c>
      <c r="B134" s="3">
        <v>80</v>
      </c>
      <c r="C134" s="73" t="str">
        <f t="shared" si="3"/>
        <v>67</v>
      </c>
      <c r="D134" s="3" t="s">
        <v>140</v>
      </c>
      <c r="E134" s="3"/>
      <c r="F134" s="3">
        <v>0</v>
      </c>
      <c r="G134" s="3">
        <v>1</v>
      </c>
      <c r="H134" s="3"/>
      <c r="I134" s="3" t="s">
        <v>93</v>
      </c>
      <c r="J134" s="3"/>
      <c r="K134" s="3" t="s">
        <v>709</v>
      </c>
    </row>
    <row r="135" spans="1:20" x14ac:dyDescent="0.25">
      <c r="A135" s="37" t="s">
        <v>701</v>
      </c>
      <c r="B135" s="3">
        <v>80</v>
      </c>
      <c r="C135" s="73" t="str">
        <f t="shared" si="3"/>
        <v>68</v>
      </c>
      <c r="D135" s="3" t="s">
        <v>140</v>
      </c>
      <c r="E135" s="3"/>
      <c r="F135" s="3">
        <v>0</v>
      </c>
      <c r="G135" s="3">
        <v>1</v>
      </c>
      <c r="H135" s="3"/>
      <c r="I135" s="3" t="s">
        <v>93</v>
      </c>
      <c r="J135" s="3"/>
      <c r="K135" s="3" t="s">
        <v>709</v>
      </c>
    </row>
    <row r="136" spans="1:20" x14ac:dyDescent="0.25">
      <c r="A136" s="37" t="s">
        <v>702</v>
      </c>
      <c r="B136" s="3">
        <v>80</v>
      </c>
      <c r="C136" s="73" t="str">
        <f t="shared" si="3"/>
        <v>69</v>
      </c>
      <c r="D136" s="3" t="s">
        <v>140</v>
      </c>
      <c r="E136" s="3"/>
      <c r="F136" s="3">
        <v>0</v>
      </c>
      <c r="G136" s="3">
        <v>1</v>
      </c>
      <c r="H136" s="3"/>
      <c r="I136" s="3" t="s">
        <v>93</v>
      </c>
      <c r="J136" s="3"/>
      <c r="K136" s="3" t="s">
        <v>709</v>
      </c>
    </row>
    <row r="137" spans="1:20" x14ac:dyDescent="0.25">
      <c r="A137" s="37" t="s">
        <v>703</v>
      </c>
      <c r="B137" s="3">
        <v>80</v>
      </c>
      <c r="C137" s="73" t="str">
        <f t="shared" si="3"/>
        <v>6A</v>
      </c>
      <c r="D137" s="3" t="s">
        <v>140</v>
      </c>
      <c r="E137" s="3"/>
      <c r="F137" s="3">
        <v>0</v>
      </c>
      <c r="G137" s="3">
        <v>1</v>
      </c>
      <c r="H137" s="3"/>
      <c r="I137" s="3" t="s">
        <v>93</v>
      </c>
      <c r="J137" s="3"/>
      <c r="K137" s="3" t="s">
        <v>709</v>
      </c>
    </row>
    <row r="138" spans="1:20" x14ac:dyDescent="0.25">
      <c r="A138" s="37" t="s">
        <v>704</v>
      </c>
      <c r="B138" s="3">
        <v>80</v>
      </c>
      <c r="C138" s="73" t="str">
        <f t="shared" si="3"/>
        <v>6B</v>
      </c>
      <c r="D138" s="3" t="s">
        <v>140</v>
      </c>
      <c r="E138" s="3"/>
      <c r="F138" s="3">
        <v>0</v>
      </c>
      <c r="G138" s="3">
        <v>1</v>
      </c>
      <c r="H138" s="3"/>
      <c r="I138" s="3" t="s">
        <v>93</v>
      </c>
      <c r="J138" s="3"/>
      <c r="K138" s="3" t="s">
        <v>709</v>
      </c>
    </row>
    <row r="139" spans="1:20" x14ac:dyDescent="0.25">
      <c r="A139" s="37" t="s">
        <v>705</v>
      </c>
      <c r="B139" s="3">
        <v>80</v>
      </c>
      <c r="C139" s="73" t="str">
        <f t="shared" si="3"/>
        <v>6C</v>
      </c>
      <c r="D139" s="3" t="s">
        <v>140</v>
      </c>
      <c r="E139" s="3"/>
      <c r="F139" s="3">
        <v>0</v>
      </c>
      <c r="G139" s="3">
        <v>1</v>
      </c>
      <c r="H139" s="3"/>
      <c r="I139" s="3" t="s">
        <v>93</v>
      </c>
      <c r="J139" s="3"/>
      <c r="K139" s="3" t="s">
        <v>709</v>
      </c>
    </row>
    <row r="140" spans="1:20" x14ac:dyDescent="0.25">
      <c r="A140" s="37" t="s">
        <v>706</v>
      </c>
      <c r="B140" s="3">
        <v>80</v>
      </c>
      <c r="C140" s="73" t="str">
        <f t="shared" si="3"/>
        <v>6D</v>
      </c>
      <c r="D140" s="3" t="s">
        <v>140</v>
      </c>
      <c r="E140" s="3"/>
      <c r="F140" s="3">
        <v>0</v>
      </c>
      <c r="G140" s="3">
        <v>1</v>
      </c>
      <c r="H140" s="3"/>
      <c r="I140" s="3" t="s">
        <v>93</v>
      </c>
      <c r="J140" s="3"/>
      <c r="K140" s="3" t="s">
        <v>709</v>
      </c>
    </row>
    <row r="141" spans="1:20" x14ac:dyDescent="0.25">
      <c r="A141" s="37" t="s">
        <v>707</v>
      </c>
      <c r="B141" s="3">
        <v>80</v>
      </c>
      <c r="C141" s="73" t="str">
        <f t="shared" si="3"/>
        <v>6E</v>
      </c>
      <c r="D141" s="3" t="s">
        <v>137</v>
      </c>
      <c r="E141" s="3"/>
      <c r="F141" s="3">
        <v>0</v>
      </c>
      <c r="G141" s="3">
        <v>2</v>
      </c>
      <c r="H141" s="3"/>
      <c r="I141" s="3" t="s">
        <v>93</v>
      </c>
      <c r="J141" s="3"/>
      <c r="K141" s="3" t="s">
        <v>708</v>
      </c>
    </row>
    <row r="142" spans="1:20" x14ac:dyDescent="0.25">
      <c r="A142" s="37" t="s">
        <v>710</v>
      </c>
      <c r="B142" s="3">
        <v>80</v>
      </c>
      <c r="C142" s="73" t="str">
        <f t="shared" si="3"/>
        <v>6F</v>
      </c>
      <c r="D142" s="3" t="s">
        <v>140</v>
      </c>
      <c r="E142" s="3"/>
      <c r="F142" s="3">
        <v>0</v>
      </c>
      <c r="G142" s="3">
        <v>1</v>
      </c>
      <c r="H142" s="3"/>
      <c r="I142" s="3" t="s">
        <v>93</v>
      </c>
      <c r="J142" s="3"/>
      <c r="K142" s="3" t="s">
        <v>709</v>
      </c>
    </row>
    <row r="143" spans="1:20" x14ac:dyDescent="0.25">
      <c r="A143" s="37" t="s">
        <v>762</v>
      </c>
      <c r="B143" s="3">
        <v>80</v>
      </c>
      <c r="C143" s="73" t="str">
        <f t="shared" si="3"/>
        <v>70</v>
      </c>
      <c r="D143" s="3" t="s">
        <v>140</v>
      </c>
      <c r="F143" s="3">
        <v>0</v>
      </c>
      <c r="G143" s="3">
        <v>1</v>
      </c>
      <c r="H143" s="3"/>
      <c r="I143" s="3" t="s">
        <v>87</v>
      </c>
      <c r="J143" s="3"/>
      <c r="K143" s="3" t="s">
        <v>763</v>
      </c>
    </row>
    <row r="144" spans="1:20" x14ac:dyDescent="0.25">
      <c r="A144" s="15" t="s">
        <v>833</v>
      </c>
      <c r="B144" s="3">
        <v>80</v>
      </c>
      <c r="C144" s="73" t="str">
        <f t="shared" ref="C144:C152" si="4">DEC2HEX(HEX2DEC(C143)+1)</f>
        <v>71</v>
      </c>
      <c r="D144" s="3" t="s">
        <v>225</v>
      </c>
      <c r="E144" s="3"/>
      <c r="F144" s="3"/>
      <c r="G144" s="3"/>
      <c r="H144" s="3" t="s">
        <v>226</v>
      </c>
      <c r="I144" s="3" t="s">
        <v>93</v>
      </c>
      <c r="J144" s="3"/>
      <c r="K144" s="3" t="s">
        <v>835</v>
      </c>
      <c r="L144" s="3"/>
      <c r="M144" s="3"/>
      <c r="N144" s="3"/>
      <c r="O144" s="3"/>
      <c r="P144" s="3"/>
      <c r="Q144" s="3"/>
      <c r="R144" s="3"/>
      <c r="S144" s="3"/>
      <c r="T144" s="3"/>
    </row>
    <row r="145" spans="1:20" x14ac:dyDescent="0.25">
      <c r="A145" s="15" t="s">
        <v>834</v>
      </c>
      <c r="B145" s="3">
        <v>80</v>
      </c>
      <c r="C145" s="73" t="str">
        <f t="shared" si="4"/>
        <v>72</v>
      </c>
      <c r="D145" s="3" t="s">
        <v>225</v>
      </c>
      <c r="E145" s="3"/>
      <c r="F145" s="3"/>
      <c r="G145" s="3"/>
      <c r="H145" s="3" t="s">
        <v>226</v>
      </c>
      <c r="I145" s="3" t="s">
        <v>93</v>
      </c>
      <c r="J145" s="3"/>
      <c r="K145" s="3" t="s">
        <v>836</v>
      </c>
      <c r="L145" s="3"/>
      <c r="M145" s="3"/>
      <c r="N145" s="3"/>
      <c r="O145" s="3"/>
      <c r="P145" s="3"/>
      <c r="Q145" s="3"/>
      <c r="R145" s="3"/>
      <c r="S145" s="3"/>
      <c r="T145" s="3"/>
    </row>
    <row r="146" spans="1:20" ht="30" x14ac:dyDescent="0.25">
      <c r="A146" s="15" t="s">
        <v>839</v>
      </c>
      <c r="B146" s="3">
        <v>80</v>
      </c>
      <c r="C146" s="73" t="str">
        <f t="shared" si="4"/>
        <v>73</v>
      </c>
      <c r="D146" s="3" t="s">
        <v>137</v>
      </c>
      <c r="E146" s="3"/>
      <c r="F146" s="3"/>
      <c r="G146" s="3"/>
      <c r="H146" s="3"/>
      <c r="I146" s="3" t="s">
        <v>103</v>
      </c>
      <c r="J146" s="3"/>
      <c r="K146" s="8" t="s">
        <v>579</v>
      </c>
      <c r="L146" s="3"/>
      <c r="M146" s="3"/>
      <c r="N146" s="3"/>
      <c r="O146" s="3"/>
      <c r="P146" s="3"/>
      <c r="Q146" s="3"/>
      <c r="R146" s="3"/>
      <c r="S146" s="3"/>
      <c r="T146" s="3"/>
    </row>
    <row r="147" spans="1:20" ht="30" x14ac:dyDescent="0.25">
      <c r="A147" s="15" t="s">
        <v>840</v>
      </c>
      <c r="B147" s="3">
        <v>80</v>
      </c>
      <c r="C147" s="73" t="str">
        <f t="shared" si="4"/>
        <v>74</v>
      </c>
      <c r="D147" s="3" t="s">
        <v>137</v>
      </c>
      <c r="E147" s="3"/>
      <c r="F147" s="3"/>
      <c r="G147" s="3"/>
      <c r="H147" s="3"/>
      <c r="I147" s="3" t="s">
        <v>103</v>
      </c>
      <c r="J147" s="3"/>
      <c r="K147" s="8" t="s">
        <v>579</v>
      </c>
      <c r="L147" s="3"/>
      <c r="M147" s="3"/>
      <c r="N147" s="3"/>
      <c r="O147" s="3"/>
      <c r="P147" s="3"/>
      <c r="Q147" s="3"/>
      <c r="R147" s="3"/>
      <c r="S147" s="3"/>
      <c r="T147" s="3"/>
    </row>
    <row r="148" spans="1:20" x14ac:dyDescent="0.25">
      <c r="A148" s="15" t="s">
        <v>846</v>
      </c>
      <c r="B148" s="3">
        <v>80</v>
      </c>
      <c r="C148" s="73" t="str">
        <f t="shared" si="4"/>
        <v>75</v>
      </c>
      <c r="D148" s="3" t="s">
        <v>225</v>
      </c>
      <c r="E148" s="3"/>
      <c r="F148" s="3"/>
      <c r="G148" s="3"/>
      <c r="H148" s="3" t="s">
        <v>226</v>
      </c>
      <c r="I148" s="3" t="s">
        <v>93</v>
      </c>
      <c r="J148" s="3"/>
      <c r="K148" s="3" t="s">
        <v>847</v>
      </c>
      <c r="L148" s="3"/>
      <c r="M148" s="3"/>
      <c r="N148" s="3"/>
      <c r="O148" s="3"/>
      <c r="P148" s="3"/>
      <c r="Q148" s="3"/>
      <c r="R148" s="3"/>
      <c r="S148" s="3"/>
      <c r="T148" s="3"/>
    </row>
    <row r="149" spans="1:20" x14ac:dyDescent="0.25">
      <c r="A149" s="15" t="s">
        <v>848</v>
      </c>
      <c r="B149" s="3">
        <v>80</v>
      </c>
      <c r="C149" s="73" t="str">
        <f t="shared" si="4"/>
        <v>76</v>
      </c>
      <c r="D149" s="3" t="s">
        <v>225</v>
      </c>
      <c r="E149" s="3"/>
      <c r="F149" s="3"/>
      <c r="G149" s="3"/>
      <c r="H149" s="3" t="s">
        <v>226</v>
      </c>
      <c r="I149" s="3" t="s">
        <v>93</v>
      </c>
      <c r="J149" s="3"/>
      <c r="K149" s="3" t="s">
        <v>847</v>
      </c>
      <c r="L149" s="3"/>
      <c r="M149" s="3"/>
      <c r="N149" s="3"/>
      <c r="O149" s="3"/>
      <c r="P149" s="3"/>
      <c r="Q149" s="3"/>
      <c r="R149" s="3"/>
      <c r="S149" s="3"/>
      <c r="T149" s="3"/>
    </row>
    <row r="150" spans="1:20" x14ac:dyDescent="0.25">
      <c r="A150" s="15" t="s">
        <v>849</v>
      </c>
      <c r="B150" s="3">
        <v>80</v>
      </c>
      <c r="C150" s="73" t="str">
        <f t="shared" si="4"/>
        <v>77</v>
      </c>
      <c r="D150" s="3" t="s">
        <v>225</v>
      </c>
      <c r="E150" s="3"/>
      <c r="F150" s="3"/>
      <c r="G150" s="3"/>
      <c r="H150" s="3" t="s">
        <v>226</v>
      </c>
      <c r="I150" s="3" t="s">
        <v>93</v>
      </c>
      <c r="J150" s="3"/>
      <c r="K150" s="3" t="s">
        <v>847</v>
      </c>
      <c r="L150" s="3"/>
      <c r="M150" s="3"/>
      <c r="N150" s="3"/>
      <c r="O150" s="3"/>
      <c r="P150" s="3"/>
      <c r="Q150" s="3"/>
      <c r="R150" s="3"/>
      <c r="S150" s="3"/>
      <c r="T150" s="3"/>
    </row>
    <row r="151" spans="1:20" x14ac:dyDescent="0.25">
      <c r="A151" s="15" t="s">
        <v>850</v>
      </c>
      <c r="B151" s="3">
        <v>80</v>
      </c>
      <c r="C151" s="73" t="str">
        <f t="shared" si="4"/>
        <v>78</v>
      </c>
      <c r="D151" s="3" t="s">
        <v>225</v>
      </c>
      <c r="E151" s="3"/>
      <c r="F151" s="3"/>
      <c r="G151" s="3"/>
      <c r="H151" s="3" t="s">
        <v>226</v>
      </c>
      <c r="I151" s="3" t="s">
        <v>93</v>
      </c>
      <c r="J151" s="3"/>
      <c r="K151" s="3" t="s">
        <v>847</v>
      </c>
      <c r="L151" s="3"/>
      <c r="M151" s="3"/>
      <c r="N151" s="3"/>
      <c r="O151" s="3"/>
      <c r="P151" s="3"/>
      <c r="Q151" s="3"/>
      <c r="R151" s="3"/>
      <c r="S151" s="3"/>
      <c r="T151" s="3"/>
    </row>
    <row r="152" spans="1:20" ht="30" x14ac:dyDescent="0.25">
      <c r="A152" s="15" t="s">
        <v>851</v>
      </c>
      <c r="B152" s="3">
        <v>80</v>
      </c>
      <c r="C152" s="73" t="str">
        <f t="shared" si="4"/>
        <v>79</v>
      </c>
      <c r="D152" s="3" t="s">
        <v>225</v>
      </c>
      <c r="E152" s="3"/>
      <c r="F152" s="3"/>
      <c r="G152" s="3"/>
      <c r="H152" s="3" t="s">
        <v>226</v>
      </c>
      <c r="I152" s="3" t="s">
        <v>87</v>
      </c>
      <c r="J152" s="3"/>
      <c r="K152" s="8" t="s">
        <v>1026</v>
      </c>
      <c r="L152" s="3"/>
      <c r="M152" s="3"/>
      <c r="N152" s="3"/>
      <c r="O152" s="3"/>
      <c r="P152" s="3"/>
      <c r="Q152" s="3"/>
      <c r="R152" s="3"/>
      <c r="S152" s="3"/>
      <c r="T152" s="3"/>
    </row>
    <row r="153" spans="1:20" x14ac:dyDescent="0.25">
      <c r="A153" s="15" t="s">
        <v>852</v>
      </c>
      <c r="B153" s="3">
        <v>80</v>
      </c>
      <c r="C153" s="73" t="str">
        <f t="shared" ref="C153:C159" si="5">DEC2HEX(HEX2DEC(C152)+1)</f>
        <v>7A</v>
      </c>
      <c r="D153" s="3" t="s">
        <v>225</v>
      </c>
      <c r="E153" s="3"/>
      <c r="F153" s="3"/>
      <c r="G153" s="3"/>
      <c r="H153" s="3" t="s">
        <v>226</v>
      </c>
      <c r="I153" s="3" t="s">
        <v>87</v>
      </c>
      <c r="J153" s="3"/>
      <c r="K153" s="3" t="s">
        <v>853</v>
      </c>
      <c r="L153" s="3"/>
      <c r="M153" s="3"/>
      <c r="N153" s="3"/>
      <c r="O153" s="3"/>
      <c r="P153" s="3"/>
      <c r="Q153" s="3"/>
      <c r="R153" s="3"/>
      <c r="S153" s="3"/>
      <c r="T153" s="3"/>
    </row>
    <row r="154" spans="1:20" customFormat="1" x14ac:dyDescent="0.25">
      <c r="A154" s="37" t="s">
        <v>888</v>
      </c>
      <c r="B154" s="3">
        <v>80</v>
      </c>
      <c r="C154" s="73" t="str">
        <f t="shared" si="5"/>
        <v>7B</v>
      </c>
      <c r="D154" s="3" t="s">
        <v>131</v>
      </c>
      <c r="E154" s="3" t="s">
        <v>711</v>
      </c>
      <c r="F154" s="3">
        <v>0</v>
      </c>
      <c r="G154" s="3">
        <v>4294967296</v>
      </c>
      <c r="H154" s="3" t="s">
        <v>889</v>
      </c>
      <c r="I154" s="3" t="s">
        <v>87</v>
      </c>
      <c r="J154" s="3"/>
      <c r="K154" s="3" t="s">
        <v>890</v>
      </c>
      <c r="L154" s="3"/>
      <c r="M154" s="3"/>
      <c r="N154" s="3"/>
      <c r="O154" s="3"/>
      <c r="P154" s="3"/>
      <c r="Q154" s="3"/>
      <c r="R154" s="3"/>
      <c r="S154" s="3"/>
      <c r="T154" s="3"/>
    </row>
    <row r="155" spans="1:20" customFormat="1" ht="30" x14ac:dyDescent="0.25">
      <c r="A155" s="37" t="s">
        <v>891</v>
      </c>
      <c r="B155" s="3">
        <v>80</v>
      </c>
      <c r="C155" s="73" t="str">
        <f t="shared" si="5"/>
        <v>7C</v>
      </c>
      <c r="D155" s="3" t="s">
        <v>131</v>
      </c>
      <c r="E155" s="3" t="s">
        <v>711</v>
      </c>
      <c r="F155" s="3">
        <v>0</v>
      </c>
      <c r="G155" s="3">
        <v>4294967296</v>
      </c>
      <c r="H155" s="3" t="s">
        <v>889</v>
      </c>
      <c r="I155" s="3" t="s">
        <v>87</v>
      </c>
      <c r="J155" s="3"/>
      <c r="K155" s="8" t="s">
        <v>892</v>
      </c>
      <c r="L155" s="3"/>
      <c r="M155" s="3"/>
      <c r="N155" s="3"/>
      <c r="O155" s="3"/>
      <c r="P155" s="3"/>
      <c r="Q155" s="3"/>
      <c r="R155" s="3"/>
      <c r="S155" s="3"/>
      <c r="T155" s="3"/>
    </row>
    <row r="156" spans="1:20" x14ac:dyDescent="0.25">
      <c r="A156" s="37" t="s">
        <v>893</v>
      </c>
      <c r="B156" s="3">
        <v>80</v>
      </c>
      <c r="C156" s="73" t="str">
        <f t="shared" si="5"/>
        <v>7D</v>
      </c>
      <c r="D156" s="3" t="s">
        <v>128</v>
      </c>
      <c r="E156" s="3"/>
      <c r="F156" s="3">
        <v>-32767</v>
      </c>
      <c r="G156" s="3">
        <v>32767</v>
      </c>
      <c r="H156" s="3" t="s">
        <v>633</v>
      </c>
      <c r="I156" s="3" t="s">
        <v>87</v>
      </c>
      <c r="J156" s="3"/>
      <c r="K156" s="3" t="s">
        <v>895</v>
      </c>
    </row>
    <row r="157" spans="1:20" x14ac:dyDescent="0.25">
      <c r="A157" s="37" t="s">
        <v>894</v>
      </c>
      <c r="B157" s="3">
        <v>80</v>
      </c>
      <c r="C157" s="73" t="str">
        <f t="shared" si="5"/>
        <v>7E</v>
      </c>
      <c r="D157" s="3" t="s">
        <v>131</v>
      </c>
      <c r="E157" s="3" t="s">
        <v>711</v>
      </c>
      <c r="F157" s="3">
        <v>0</v>
      </c>
      <c r="G157" s="3">
        <v>4294967296</v>
      </c>
      <c r="H157" s="3" t="s">
        <v>889</v>
      </c>
      <c r="I157" s="3" t="s">
        <v>87</v>
      </c>
      <c r="J157" s="3"/>
      <c r="K157" s="8" t="s">
        <v>896</v>
      </c>
    </row>
    <row r="158" spans="1:20" x14ac:dyDescent="0.25">
      <c r="A158" s="37" t="s">
        <v>934</v>
      </c>
      <c r="B158" s="3">
        <v>80</v>
      </c>
      <c r="C158" s="73" t="str">
        <f t="shared" si="5"/>
        <v>7F</v>
      </c>
      <c r="D158" s="3" t="s">
        <v>137</v>
      </c>
      <c r="E158" s="3"/>
      <c r="F158" s="3">
        <v>0</v>
      </c>
      <c r="G158" s="3">
        <v>100</v>
      </c>
      <c r="H158" s="3" t="s">
        <v>639</v>
      </c>
      <c r="I158" s="3" t="s">
        <v>87</v>
      </c>
      <c r="J158" s="3"/>
      <c r="K158" s="3" t="s">
        <v>935</v>
      </c>
      <c r="L158" s="3"/>
      <c r="M158" s="3"/>
      <c r="N158" s="3"/>
      <c r="O158" s="3"/>
      <c r="P158" s="3"/>
      <c r="Q158" s="3"/>
      <c r="R158" s="3"/>
      <c r="S158" s="3"/>
      <c r="T158" s="3"/>
    </row>
    <row r="159" spans="1:20" ht="135" x14ac:dyDescent="0.25">
      <c r="A159" s="15" t="s">
        <v>1024</v>
      </c>
      <c r="B159" s="3">
        <v>80</v>
      </c>
      <c r="C159" s="73" t="str">
        <f t="shared" si="5"/>
        <v>80</v>
      </c>
      <c r="D159" s="3" t="s">
        <v>137</v>
      </c>
      <c r="E159" s="3"/>
      <c r="F159" s="3"/>
      <c r="G159" s="3"/>
      <c r="H159" s="3"/>
      <c r="I159" s="3" t="s">
        <v>87</v>
      </c>
      <c r="J159" s="3"/>
      <c r="K159" s="8" t="s">
        <v>1025</v>
      </c>
      <c r="L159" s="3"/>
      <c r="M159" s="3"/>
      <c r="N159" s="3"/>
      <c r="O159" s="3"/>
      <c r="P159" s="3"/>
      <c r="Q159" s="3"/>
      <c r="R159" s="3"/>
      <c r="S159" s="3"/>
      <c r="T159" s="3"/>
    </row>
  </sheetData>
  <mergeCells count="4">
    <mergeCell ref="B3:C3"/>
    <mergeCell ref="K30:T30"/>
    <mergeCell ref="K4:T4"/>
    <mergeCell ref="A1:J1"/>
  </mergeCells>
  <phoneticPr fontId="4" type="noConversion"/>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96D1-9EE6-4F09-A35C-2208B4458743}">
  <dimension ref="A1:T35"/>
  <sheetViews>
    <sheetView tabSelected="1" workbookViewId="0">
      <selection activeCell="R2" sqref="R2"/>
    </sheetView>
  </sheetViews>
  <sheetFormatPr defaultRowHeight="15" x14ac:dyDescent="0.25"/>
  <cols>
    <col min="1" max="1" width="29" bestFit="1" customWidth="1"/>
    <col min="2" max="2" width="22.42578125" customWidth="1"/>
    <col min="3" max="3" width="23.42578125" customWidth="1"/>
    <col min="4" max="4" width="31.42578125" bestFit="1" customWidth="1"/>
    <col min="5" max="5" width="14.7109375" bestFit="1" customWidth="1"/>
    <col min="6" max="6" width="15.5703125" customWidth="1"/>
    <col min="7" max="7" width="14.7109375" bestFit="1" customWidth="1"/>
    <col min="8" max="8" width="17.5703125" bestFit="1" customWidth="1"/>
    <col min="9" max="9" width="12.28515625" customWidth="1"/>
    <col min="10" max="10" width="14.28515625" customWidth="1"/>
    <col min="11" max="11" width="41" bestFit="1" customWidth="1"/>
    <col min="12" max="12" width="17" bestFit="1" customWidth="1"/>
    <col min="13" max="13" width="12.5703125" bestFit="1" customWidth="1"/>
    <col min="14" max="14" width="14.28515625" bestFit="1" customWidth="1"/>
    <col min="15" max="15" width="12.7109375" bestFit="1" customWidth="1"/>
    <col min="16" max="16" width="15.140625" customWidth="1"/>
    <col min="17" max="17" width="16" customWidth="1"/>
    <col min="18" max="18" width="16.5703125" customWidth="1"/>
    <col min="19" max="19" width="15.42578125" customWidth="1"/>
  </cols>
  <sheetData>
    <row r="1" spans="1:20" s="1" customFormat="1" x14ac:dyDescent="0.25">
      <c r="A1" s="104" t="s">
        <v>765</v>
      </c>
      <c r="B1" s="104"/>
      <c r="C1" s="104"/>
      <c r="D1" s="104"/>
      <c r="E1" s="104"/>
      <c r="F1" s="104"/>
      <c r="G1" s="104"/>
      <c r="H1" s="104"/>
      <c r="I1" s="104"/>
      <c r="J1" s="104"/>
      <c r="K1" s="3"/>
    </row>
    <row r="2" spans="1:20" s="1" customFormat="1" x14ac:dyDescent="0.25">
      <c r="A2" s="3" t="s">
        <v>773</v>
      </c>
      <c r="B2" s="3" t="s">
        <v>774</v>
      </c>
      <c r="C2" s="1" t="s">
        <v>775</v>
      </c>
      <c r="D2" s="1" t="s">
        <v>776</v>
      </c>
      <c r="E2" s="3" t="s">
        <v>842</v>
      </c>
      <c r="F2" s="3" t="s">
        <v>843</v>
      </c>
      <c r="G2" s="1" t="s">
        <v>854</v>
      </c>
      <c r="H2" s="1" t="s">
        <v>929</v>
      </c>
      <c r="I2" s="1" t="s">
        <v>930</v>
      </c>
      <c r="J2" s="1" t="s">
        <v>931</v>
      </c>
      <c r="K2" s="1" t="s">
        <v>999</v>
      </c>
      <c r="L2" s="1" t="s">
        <v>1000</v>
      </c>
      <c r="M2" s="1" t="s">
        <v>1001</v>
      </c>
      <c r="N2" s="1" t="s">
        <v>1032</v>
      </c>
      <c r="O2" s="1" t="s">
        <v>1034</v>
      </c>
      <c r="P2" s="1" t="s">
        <v>1035</v>
      </c>
      <c r="Q2" s="1" t="s">
        <v>1036</v>
      </c>
      <c r="R2" s="1" t="s">
        <v>772</v>
      </c>
      <c r="S2" s="1" t="s">
        <v>1033</v>
      </c>
    </row>
    <row r="3" spans="1:20" x14ac:dyDescent="0.25">
      <c r="A3" s="10" t="s">
        <v>603</v>
      </c>
      <c r="B3" s="99" t="s">
        <v>486</v>
      </c>
      <c r="C3" s="100"/>
      <c r="D3" s="2" t="s">
        <v>82</v>
      </c>
      <c r="E3" s="11" t="s">
        <v>83</v>
      </c>
      <c r="F3" s="12" t="s">
        <v>84</v>
      </c>
      <c r="G3" s="12" t="s">
        <v>85</v>
      </c>
      <c r="H3" s="13" t="s">
        <v>86</v>
      </c>
      <c r="I3" s="14" t="s">
        <v>87</v>
      </c>
      <c r="J3" s="40" t="s">
        <v>477</v>
      </c>
      <c r="K3" s="3" t="s">
        <v>134</v>
      </c>
      <c r="L3" s="1" t="s">
        <v>347</v>
      </c>
      <c r="M3" s="1" t="s">
        <v>353</v>
      </c>
      <c r="N3" s="1" t="s">
        <v>348</v>
      </c>
      <c r="O3" s="1" t="s">
        <v>351</v>
      </c>
    </row>
    <row r="4" spans="1:20" x14ac:dyDescent="0.25">
      <c r="A4" s="39" t="s">
        <v>88</v>
      </c>
      <c r="B4" s="55"/>
      <c r="C4" s="55"/>
      <c r="D4" s="55"/>
      <c r="E4" s="55"/>
      <c r="F4" s="55"/>
      <c r="G4" s="55"/>
      <c r="H4" s="55"/>
      <c r="I4" s="55"/>
      <c r="J4" s="56"/>
      <c r="K4" s="101"/>
      <c r="L4" s="102"/>
      <c r="M4" s="102"/>
      <c r="N4" s="102"/>
      <c r="O4" s="102"/>
      <c r="P4" s="102"/>
      <c r="Q4" s="102"/>
      <c r="R4" s="102"/>
      <c r="S4" s="102"/>
      <c r="T4" s="103"/>
    </row>
    <row r="5" spans="1:20" s="1"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row>
    <row r="6" spans="1:20" s="1"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101"/>
      <c r="L6" s="102"/>
      <c r="M6" s="102"/>
      <c r="N6" s="102"/>
      <c r="O6" s="102"/>
      <c r="P6" s="102"/>
      <c r="Q6" s="102"/>
      <c r="R6" s="102"/>
      <c r="S6" s="102"/>
      <c r="T6" s="103"/>
    </row>
    <row r="7" spans="1:20" x14ac:dyDescent="0.25">
      <c r="A7" s="54"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25">
      <c r="A8" s="54"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25">
      <c r="A9" s="54"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row>
    <row r="10" spans="1:20" x14ac:dyDescent="0.25">
      <c r="A10" s="54"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row>
    <row r="11" spans="1:20" x14ac:dyDescent="0.25">
      <c r="A11" s="54"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row>
    <row r="12" spans="1:20" x14ac:dyDescent="0.25">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1"/>
    </row>
    <row r="13" spans="1:20" x14ac:dyDescent="0.25">
      <c r="A13" s="5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1"/>
    </row>
    <row r="14" spans="1:20" x14ac:dyDescent="0.25">
      <c r="A14" s="54"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1"/>
    </row>
    <row r="15" spans="1:20" x14ac:dyDescent="0.25">
      <c r="A15" s="54"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1"/>
    </row>
    <row r="16" spans="1:20" x14ac:dyDescent="0.25">
      <c r="A16" s="54"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row>
    <row r="17" spans="1:20" x14ac:dyDescent="0.25">
      <c r="A17" s="54"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row>
    <row r="18" spans="1:20" x14ac:dyDescent="0.25">
      <c r="A18" s="54"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row>
    <row r="19" spans="1:20" x14ac:dyDescent="0.25">
      <c r="A19" s="54"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row>
    <row r="20" spans="1:20" x14ac:dyDescent="0.25">
      <c r="A20" s="54"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1"/>
    </row>
    <row r="21" spans="1:20" x14ac:dyDescent="0.25">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1"/>
    </row>
    <row r="22" spans="1:20" x14ac:dyDescent="0.25">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1"/>
    </row>
    <row r="23" spans="1:20" x14ac:dyDescent="0.25">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1"/>
    </row>
    <row r="24" spans="1:20" x14ac:dyDescent="0.25">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1"/>
    </row>
    <row r="25" spans="1:20" x14ac:dyDescent="0.25">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1"/>
    </row>
    <row r="26" spans="1:20" x14ac:dyDescent="0.25">
      <c r="A26" s="54"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1"/>
    </row>
    <row r="27" spans="1:20" x14ac:dyDescent="0.25">
      <c r="A27" s="54"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1"/>
    </row>
    <row r="29" spans="1:20" s="1" customFormat="1" x14ac:dyDescent="0.25">
      <c r="A29" s="39" t="s">
        <v>604</v>
      </c>
      <c r="B29" s="53"/>
      <c r="C29" s="53"/>
      <c r="D29" s="53"/>
      <c r="E29" s="53"/>
      <c r="F29" s="53"/>
      <c r="G29" s="53"/>
      <c r="H29" s="53"/>
      <c r="I29" s="53"/>
      <c r="J29" s="53"/>
      <c r="K29" s="101"/>
      <c r="L29" s="102"/>
      <c r="M29" s="102"/>
      <c r="N29" s="102"/>
      <c r="O29" s="102"/>
      <c r="P29" s="102"/>
      <c r="Q29" s="102"/>
      <c r="R29" s="102"/>
      <c r="S29" s="102"/>
      <c r="T29" s="103"/>
    </row>
    <row r="30" spans="1:20" s="1" customFormat="1" x14ac:dyDescent="0.25">
      <c r="A30" s="15" t="s">
        <v>605</v>
      </c>
      <c r="B30" s="3">
        <v>80</v>
      </c>
      <c r="C30" s="73" t="str">
        <f>DEC2HEX(0)</f>
        <v>0</v>
      </c>
      <c r="D30" s="3" t="s">
        <v>137</v>
      </c>
      <c r="E30" s="3"/>
      <c r="F30" s="3"/>
      <c r="G30" s="3"/>
      <c r="H30" s="3"/>
      <c r="I30" s="3" t="s">
        <v>93</v>
      </c>
      <c r="J30" s="3"/>
      <c r="K30" s="8" t="s">
        <v>612</v>
      </c>
    </row>
    <row r="31" spans="1:20" s="1" customFormat="1" x14ac:dyDescent="0.25">
      <c r="A31" s="15" t="s">
        <v>606</v>
      </c>
      <c r="B31" s="3">
        <v>80</v>
      </c>
      <c r="C31" s="73" t="str">
        <f>DEC2HEX(HEX2DEC(C30)+1)</f>
        <v>1</v>
      </c>
      <c r="D31" s="3" t="s">
        <v>140</v>
      </c>
      <c r="E31" s="3"/>
      <c r="F31" s="3">
        <v>0</v>
      </c>
      <c r="G31" s="3">
        <v>1</v>
      </c>
      <c r="H31" s="3"/>
      <c r="I31" s="3" t="s">
        <v>93</v>
      </c>
      <c r="J31" s="3"/>
      <c r="K31" s="3" t="s">
        <v>224</v>
      </c>
    </row>
    <row r="32" spans="1:20" ht="165" x14ac:dyDescent="0.25">
      <c r="A32" s="15" t="s">
        <v>607</v>
      </c>
      <c r="B32" s="3">
        <v>80</v>
      </c>
      <c r="C32" s="3">
        <v>2</v>
      </c>
      <c r="D32" s="3" t="s">
        <v>131</v>
      </c>
      <c r="E32" s="16">
        <v>255255255255</v>
      </c>
      <c r="F32" s="3">
        <v>0</v>
      </c>
      <c r="G32" s="16">
        <v>255255255255</v>
      </c>
      <c r="I32" s="3" t="s">
        <v>100</v>
      </c>
      <c r="K32" s="8" t="s">
        <v>611</v>
      </c>
    </row>
    <row r="33" spans="1:11" ht="165" x14ac:dyDescent="0.25">
      <c r="A33" s="15" t="s">
        <v>608</v>
      </c>
      <c r="B33" s="3">
        <v>80</v>
      </c>
      <c r="C33" s="3">
        <v>3</v>
      </c>
      <c r="D33" s="3" t="s">
        <v>131</v>
      </c>
      <c r="E33" s="16">
        <v>255255255255</v>
      </c>
      <c r="F33" s="3">
        <v>0</v>
      </c>
      <c r="G33" s="16">
        <v>255255255255</v>
      </c>
      <c r="I33" s="3" t="s">
        <v>100</v>
      </c>
      <c r="K33" s="8" t="s">
        <v>611</v>
      </c>
    </row>
    <row r="34" spans="1:11" ht="165" x14ac:dyDescent="0.25">
      <c r="A34" s="15" t="s">
        <v>609</v>
      </c>
      <c r="B34" s="3">
        <v>80</v>
      </c>
      <c r="C34" s="3">
        <v>4</v>
      </c>
      <c r="D34" s="3" t="s">
        <v>131</v>
      </c>
      <c r="E34" s="16">
        <v>255255255255</v>
      </c>
      <c r="F34" s="3">
        <v>0</v>
      </c>
      <c r="G34" s="16">
        <v>255255255255</v>
      </c>
      <c r="I34" s="3" t="s">
        <v>100</v>
      </c>
      <c r="K34" s="8" t="s">
        <v>610</v>
      </c>
    </row>
    <row r="35" spans="1:11" s="1" customFormat="1" x14ac:dyDescent="0.25">
      <c r="A35" s="15" t="s">
        <v>927</v>
      </c>
      <c r="B35" s="3">
        <v>80</v>
      </c>
      <c r="C35" s="73" t="str">
        <f>DEC2HEX(HEX2DEC(C34)+1)</f>
        <v>5</v>
      </c>
      <c r="D35" s="3" t="s">
        <v>140</v>
      </c>
      <c r="E35" s="3"/>
      <c r="F35" s="3">
        <v>0</v>
      </c>
      <c r="G35" s="3">
        <v>1</v>
      </c>
      <c r="H35" s="3"/>
      <c r="I35" s="3" t="s">
        <v>100</v>
      </c>
      <c r="J35" s="3"/>
      <c r="K35" s="3" t="s">
        <v>928</v>
      </c>
    </row>
  </sheetData>
  <mergeCells count="5">
    <mergeCell ref="B3:C3"/>
    <mergeCell ref="K4:T4"/>
    <mergeCell ref="K6:T6"/>
    <mergeCell ref="K29:T29"/>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C0CD-5519-46B2-A9F3-B4381168B0E7}">
  <dimension ref="A1:W71"/>
  <sheetViews>
    <sheetView workbookViewId="0">
      <pane xSplit="3" ySplit="3" topLeftCell="D56" activePane="bottomRight" state="frozen"/>
      <selection pane="topRight" activeCell="D1" sqref="D1"/>
      <selection pane="bottomLeft" activeCell="A3" sqref="A3"/>
      <selection pane="bottomRight" activeCell="C75" sqref="C75"/>
    </sheetView>
  </sheetViews>
  <sheetFormatPr defaultColWidth="8.5703125" defaultRowHeight="15" x14ac:dyDescent="0.25"/>
  <cols>
    <col min="1" max="1" width="50.7109375" style="3" customWidth="1"/>
    <col min="2" max="2" width="12.7109375" style="1" customWidth="1"/>
    <col min="3" max="3" width="55.4257812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4" t="s">
        <v>765</v>
      </c>
      <c r="B1" s="104"/>
      <c r="C1" s="104"/>
      <c r="D1" s="104"/>
      <c r="E1" s="104"/>
      <c r="F1" s="104"/>
      <c r="G1" s="104"/>
      <c r="H1" s="104"/>
      <c r="I1" s="104"/>
      <c r="J1" s="104"/>
      <c r="K1" s="3"/>
    </row>
    <row r="2" spans="1:20" x14ac:dyDescent="0.25">
      <c r="A2" s="3" t="s">
        <v>876</v>
      </c>
      <c r="K2" s="3"/>
    </row>
    <row r="3" spans="1:20" x14ac:dyDescent="0.25">
      <c r="A3" s="58" t="s">
        <v>512</v>
      </c>
      <c r="B3" s="112" t="s">
        <v>486</v>
      </c>
      <c r="C3" s="112"/>
      <c r="D3" s="59" t="s">
        <v>82</v>
      </c>
      <c r="E3" s="60" t="s">
        <v>83</v>
      </c>
      <c r="F3" s="61" t="s">
        <v>84</v>
      </c>
      <c r="G3" s="61" t="s">
        <v>85</v>
      </c>
      <c r="H3" s="62" t="s">
        <v>86</v>
      </c>
      <c r="I3" s="63" t="s">
        <v>87</v>
      </c>
      <c r="J3" s="63" t="s">
        <v>477</v>
      </c>
      <c r="K3" s="64" t="s">
        <v>134</v>
      </c>
      <c r="L3" s="65" t="s">
        <v>347</v>
      </c>
      <c r="M3" s="65" t="s">
        <v>353</v>
      </c>
      <c r="N3" s="65" t="s">
        <v>348</v>
      </c>
      <c r="O3" s="66" t="s">
        <v>351</v>
      </c>
    </row>
    <row r="4" spans="1:20" customFormat="1" x14ac:dyDescent="0.25">
      <c r="A4" s="39" t="s">
        <v>88</v>
      </c>
      <c r="B4" s="55"/>
      <c r="C4" s="55"/>
      <c r="D4" s="55"/>
      <c r="E4" s="55"/>
      <c r="F4" s="55"/>
      <c r="G4" s="55"/>
      <c r="H4" s="55"/>
      <c r="I4" s="55"/>
      <c r="J4" s="56"/>
      <c r="K4" s="101"/>
      <c r="L4" s="102"/>
      <c r="M4" s="102"/>
      <c r="N4" s="102"/>
      <c r="O4" s="102"/>
      <c r="P4" s="102"/>
      <c r="Q4" s="102"/>
      <c r="R4" s="102"/>
      <c r="S4" s="102"/>
      <c r="T4" s="103"/>
    </row>
    <row r="5" spans="1:20"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456</v>
      </c>
    </row>
    <row r="11" spans="1:20" ht="28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4" t="s">
        <v>484</v>
      </c>
      <c r="K11" s="38" t="s">
        <v>598</v>
      </c>
    </row>
    <row r="12" spans="1:20" x14ac:dyDescent="0.25">
      <c r="A12" s="37"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479</v>
      </c>
      <c r="K16" s="1" t="s">
        <v>478</v>
      </c>
    </row>
    <row r="17" spans="1:1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479</v>
      </c>
      <c r="K17" s="1" t="s">
        <v>457</v>
      </c>
    </row>
    <row r="18" spans="1:1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479</v>
      </c>
      <c r="K18" s="1" t="s">
        <v>458</v>
      </c>
    </row>
    <row r="19" spans="1:1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479</v>
      </c>
      <c r="K19" s="1" t="s">
        <v>459</v>
      </c>
    </row>
    <row r="20" spans="1:1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57" t="s">
        <v>511</v>
      </c>
      <c r="B42" s="57"/>
      <c r="C42" s="57"/>
      <c r="D42" s="57"/>
      <c r="E42" s="57"/>
      <c r="F42" s="57"/>
      <c r="G42" s="57"/>
      <c r="H42" s="57"/>
      <c r="I42" s="57"/>
      <c r="J42" s="39"/>
      <c r="K42" s="110"/>
      <c r="L42" s="111"/>
      <c r="M42" s="111"/>
      <c r="N42" s="111"/>
      <c r="O42" s="111"/>
      <c r="P42" s="111"/>
      <c r="Q42" s="111"/>
      <c r="R42" s="111"/>
      <c r="S42" s="111"/>
      <c r="T42" s="111"/>
      <c r="U42" s="111"/>
      <c r="V42" s="111"/>
      <c r="W42" s="111"/>
    </row>
    <row r="43" spans="1:23" ht="60" x14ac:dyDescent="0.25">
      <c r="A43" s="15" t="s">
        <v>448</v>
      </c>
      <c r="B43" s="3">
        <v>80</v>
      </c>
      <c r="C43" s="3">
        <v>0</v>
      </c>
      <c r="D43" s="3" t="s">
        <v>240</v>
      </c>
      <c r="E43" s="3"/>
      <c r="F43" s="3">
        <v>0</v>
      </c>
      <c r="G43" s="3">
        <v>3</v>
      </c>
      <c r="H43" s="3"/>
      <c r="I43" s="3" t="s">
        <v>87</v>
      </c>
      <c r="J43" s="3"/>
      <c r="K43" s="34" t="s">
        <v>627</v>
      </c>
    </row>
    <row r="44" spans="1:23" x14ac:dyDescent="0.25">
      <c r="A44" s="15" t="s">
        <v>449</v>
      </c>
      <c r="B44" s="3">
        <v>80</v>
      </c>
      <c r="C44" s="3">
        <v>1</v>
      </c>
      <c r="D44" s="3" t="s">
        <v>140</v>
      </c>
      <c r="E44" s="3"/>
      <c r="F44" s="3">
        <v>0</v>
      </c>
      <c r="G44" s="3">
        <v>1</v>
      </c>
      <c r="H44" s="3"/>
      <c r="I44" s="3" t="s">
        <v>93</v>
      </c>
      <c r="J44" s="3"/>
      <c r="K44" s="1" t="s">
        <v>628</v>
      </c>
      <c r="L44" s="3"/>
      <c r="M44" s="3"/>
      <c r="N44" s="3"/>
      <c r="O44" s="3"/>
    </row>
    <row r="45" spans="1:23" x14ac:dyDescent="0.25">
      <c r="A45" s="15" t="s">
        <v>450</v>
      </c>
      <c r="B45" s="3">
        <v>80</v>
      </c>
      <c r="C45" s="3">
        <v>2</v>
      </c>
      <c r="D45" s="3" t="s">
        <v>225</v>
      </c>
      <c r="E45" s="3"/>
      <c r="F45" s="3"/>
      <c r="G45" s="3"/>
      <c r="H45" s="3"/>
      <c r="I45" s="3" t="s">
        <v>93</v>
      </c>
      <c r="J45" s="3"/>
      <c r="K45" s="3"/>
    </row>
    <row r="46" spans="1:23" x14ac:dyDescent="0.25">
      <c r="A46" s="15" t="s">
        <v>451</v>
      </c>
      <c r="B46" s="3">
        <v>80</v>
      </c>
      <c r="C46" s="3">
        <v>3</v>
      </c>
      <c r="D46" s="3" t="s">
        <v>225</v>
      </c>
      <c r="E46" s="3"/>
      <c r="F46" s="3"/>
      <c r="G46" s="3"/>
      <c r="H46" s="3"/>
      <c r="I46" s="3" t="s">
        <v>93</v>
      </c>
      <c r="J46" s="3"/>
      <c r="K46" s="3"/>
    </row>
    <row r="47" spans="1:23" x14ac:dyDescent="0.25">
      <c r="A47" s="15" t="s">
        <v>452</v>
      </c>
      <c r="B47" s="3">
        <v>80</v>
      </c>
      <c r="C47" s="3">
        <v>4</v>
      </c>
      <c r="D47" s="3" t="s">
        <v>225</v>
      </c>
      <c r="I47" s="3" t="s">
        <v>93</v>
      </c>
      <c r="J47" s="3"/>
      <c r="K47" s="3"/>
    </row>
    <row r="48" spans="1:23" x14ac:dyDescent="0.25">
      <c r="A48" s="37" t="s">
        <v>453</v>
      </c>
      <c r="B48" s="3">
        <v>80</v>
      </c>
      <c r="C48" s="3">
        <v>5</v>
      </c>
      <c r="D48" s="3" t="s">
        <v>225</v>
      </c>
      <c r="I48" s="3" t="s">
        <v>93</v>
      </c>
      <c r="J48" s="3"/>
    </row>
    <row r="49" spans="1:11" x14ac:dyDescent="0.25">
      <c r="A49" s="37" t="s">
        <v>454</v>
      </c>
      <c r="B49" s="3">
        <v>80</v>
      </c>
      <c r="C49" s="3">
        <v>6</v>
      </c>
      <c r="D49" s="3" t="s">
        <v>225</v>
      </c>
      <c r="I49" s="3" t="s">
        <v>93</v>
      </c>
      <c r="J49" s="3"/>
    </row>
    <row r="50" spans="1:11" x14ac:dyDescent="0.25">
      <c r="A50" s="37" t="s">
        <v>455</v>
      </c>
      <c r="B50" s="3">
        <v>80</v>
      </c>
      <c r="C50" s="3">
        <v>7</v>
      </c>
      <c r="D50" s="3" t="s">
        <v>225</v>
      </c>
      <c r="I50" s="3" t="s">
        <v>93</v>
      </c>
    </row>
    <row r="51" spans="1:11" x14ac:dyDescent="0.25">
      <c r="A51" s="37" t="s">
        <v>460</v>
      </c>
      <c r="B51" s="3">
        <v>80</v>
      </c>
      <c r="C51" s="3">
        <v>8</v>
      </c>
      <c r="D51" s="3" t="s">
        <v>225</v>
      </c>
      <c r="I51" s="3" t="s">
        <v>93</v>
      </c>
    </row>
    <row r="52" spans="1:11" x14ac:dyDescent="0.25">
      <c r="A52" s="37" t="s">
        <v>461</v>
      </c>
      <c r="B52" s="3">
        <v>80</v>
      </c>
      <c r="C52" s="3">
        <v>9</v>
      </c>
      <c r="D52" s="3" t="s">
        <v>225</v>
      </c>
      <c r="I52" s="3" t="s">
        <v>93</v>
      </c>
    </row>
    <row r="53" spans="1:11" x14ac:dyDescent="0.25">
      <c r="A53" s="37" t="s">
        <v>591</v>
      </c>
      <c r="B53" s="3">
        <v>80</v>
      </c>
      <c r="C53" s="3" t="s">
        <v>55</v>
      </c>
      <c r="D53" s="3" t="s">
        <v>140</v>
      </c>
      <c r="F53" s="3">
        <v>0</v>
      </c>
      <c r="G53" s="3">
        <v>1</v>
      </c>
      <c r="I53" s="3" t="s">
        <v>93</v>
      </c>
      <c r="K53" s="1" t="s">
        <v>629</v>
      </c>
    </row>
    <row r="54" spans="1:11" x14ac:dyDescent="0.25">
      <c r="A54" s="37" t="s">
        <v>592</v>
      </c>
      <c r="B54" s="3">
        <v>80</v>
      </c>
      <c r="C54" s="3" t="s">
        <v>57</v>
      </c>
      <c r="D54" s="3" t="s">
        <v>140</v>
      </c>
      <c r="F54" s="3">
        <v>0</v>
      </c>
      <c r="G54" s="3">
        <v>1</v>
      </c>
      <c r="I54" s="3" t="s">
        <v>93</v>
      </c>
      <c r="K54" s="1" t="s">
        <v>629</v>
      </c>
    </row>
    <row r="55" spans="1:11" x14ac:dyDescent="0.25">
      <c r="A55" s="37" t="s">
        <v>442</v>
      </c>
      <c r="B55" s="3">
        <v>80</v>
      </c>
      <c r="C55" s="3" t="s">
        <v>58</v>
      </c>
      <c r="D55" s="3" t="s">
        <v>140</v>
      </c>
      <c r="F55" s="3">
        <v>0</v>
      </c>
      <c r="G55" s="3">
        <v>1</v>
      </c>
    </row>
    <row r="56" spans="1:11" ht="60" x14ac:dyDescent="0.25">
      <c r="A56" s="37" t="s">
        <v>593</v>
      </c>
      <c r="B56" s="3">
        <v>80</v>
      </c>
      <c r="C56" s="3" t="s">
        <v>60</v>
      </c>
      <c r="D56" s="3" t="s">
        <v>137</v>
      </c>
      <c r="K56" s="34" t="s">
        <v>623</v>
      </c>
    </row>
    <row r="57" spans="1:11" ht="30" x14ac:dyDescent="0.25">
      <c r="A57" s="37" t="s">
        <v>594</v>
      </c>
      <c r="B57" s="3">
        <v>80</v>
      </c>
      <c r="C57" s="3" t="s">
        <v>63</v>
      </c>
      <c r="D57" s="3" t="s">
        <v>137</v>
      </c>
      <c r="K57" s="34" t="s">
        <v>616</v>
      </c>
    </row>
    <row r="58" spans="1:11" x14ac:dyDescent="0.25">
      <c r="A58" s="37" t="s">
        <v>595</v>
      </c>
      <c r="B58" s="3">
        <v>80</v>
      </c>
      <c r="C58" s="3" t="s">
        <v>65</v>
      </c>
      <c r="D58" s="3" t="s">
        <v>620</v>
      </c>
    </row>
    <row r="59" spans="1:11" x14ac:dyDescent="0.25">
      <c r="A59" s="37" t="s">
        <v>596</v>
      </c>
      <c r="B59" s="3">
        <v>80</v>
      </c>
      <c r="C59" s="3">
        <v>10</v>
      </c>
      <c r="D59" s="3" t="s">
        <v>620</v>
      </c>
    </row>
    <row r="60" spans="1:11" x14ac:dyDescent="0.25">
      <c r="A60" s="37" t="s">
        <v>597</v>
      </c>
      <c r="B60" s="3">
        <v>80</v>
      </c>
      <c r="C60" s="3">
        <v>11</v>
      </c>
      <c r="D60" s="3" t="s">
        <v>140</v>
      </c>
    </row>
    <row r="61" spans="1:11" ht="105" x14ac:dyDescent="0.25">
      <c r="A61" s="37" t="s">
        <v>600</v>
      </c>
      <c r="B61" s="3">
        <v>80</v>
      </c>
      <c r="C61" s="3">
        <v>12</v>
      </c>
      <c r="D61" s="3" t="s">
        <v>137</v>
      </c>
      <c r="K61" s="34" t="s">
        <v>617</v>
      </c>
    </row>
    <row r="62" spans="1:11" x14ac:dyDescent="0.25">
      <c r="A62" s="37" t="s">
        <v>601</v>
      </c>
      <c r="B62" s="3">
        <v>80</v>
      </c>
      <c r="C62" s="3">
        <v>13</v>
      </c>
      <c r="D62" s="3" t="s">
        <v>131</v>
      </c>
    </row>
    <row r="63" spans="1:11" x14ac:dyDescent="0.25">
      <c r="A63" s="37" t="s">
        <v>897</v>
      </c>
      <c r="B63" s="3">
        <v>80</v>
      </c>
      <c r="C63" s="3">
        <v>14</v>
      </c>
      <c r="D63" s="3" t="s">
        <v>140</v>
      </c>
      <c r="K63" s="34" t="s">
        <v>898</v>
      </c>
    </row>
    <row r="64" spans="1:11" ht="105" x14ac:dyDescent="0.25">
      <c r="A64" s="37" t="s">
        <v>903</v>
      </c>
      <c r="B64" s="3">
        <v>80</v>
      </c>
      <c r="C64" s="3">
        <v>15</v>
      </c>
      <c r="D64" s="3" t="s">
        <v>137</v>
      </c>
      <c r="K64" s="34" t="s">
        <v>901</v>
      </c>
    </row>
    <row r="65" spans="1:5" x14ac:dyDescent="0.25">
      <c r="A65" s="37" t="s">
        <v>899</v>
      </c>
      <c r="B65" s="3">
        <v>80</v>
      </c>
      <c r="C65" s="3">
        <v>16</v>
      </c>
      <c r="D65" s="3" t="s">
        <v>131</v>
      </c>
    </row>
    <row r="66" spans="1:5" x14ac:dyDescent="0.25">
      <c r="A66" s="37" t="s">
        <v>900</v>
      </c>
      <c r="B66" s="3">
        <v>80</v>
      </c>
      <c r="C66" s="3">
        <v>17</v>
      </c>
      <c r="D66" s="3" t="s">
        <v>240</v>
      </c>
      <c r="E66" s="83">
        <v>255255</v>
      </c>
    </row>
    <row r="67" spans="1:5" x14ac:dyDescent="0.25">
      <c r="A67" s="37" t="s">
        <v>902</v>
      </c>
      <c r="B67" s="3">
        <v>80</v>
      </c>
      <c r="C67" s="3">
        <v>18</v>
      </c>
      <c r="D67" s="3" t="s">
        <v>140</v>
      </c>
    </row>
    <row r="68" spans="1:5" x14ac:dyDescent="0.25">
      <c r="A68" s="37" t="s">
        <v>905</v>
      </c>
      <c r="B68" s="3">
        <v>80</v>
      </c>
      <c r="C68" s="3">
        <v>19</v>
      </c>
      <c r="D68" s="3" t="s">
        <v>140</v>
      </c>
    </row>
    <row r="69" spans="1:5" x14ac:dyDescent="0.25">
      <c r="A69" s="37" t="s">
        <v>906</v>
      </c>
      <c r="B69" s="3">
        <v>80</v>
      </c>
      <c r="C69" s="3" t="s">
        <v>341</v>
      </c>
      <c r="D69" s="3" t="s">
        <v>131</v>
      </c>
    </row>
    <row r="70" spans="1:5" x14ac:dyDescent="0.25">
      <c r="A70" s="37" t="s">
        <v>907</v>
      </c>
      <c r="B70" s="3">
        <v>80</v>
      </c>
      <c r="C70" s="3" t="s">
        <v>488</v>
      </c>
      <c r="D70" s="3" t="s">
        <v>131</v>
      </c>
    </row>
    <row r="71" spans="1:5" x14ac:dyDescent="0.25">
      <c r="A71" s="37" t="s">
        <v>908</v>
      </c>
      <c r="B71" s="3">
        <v>80</v>
      </c>
      <c r="C71" s="3" t="s">
        <v>489</v>
      </c>
      <c r="D71" s="3" t="s">
        <v>240</v>
      </c>
      <c r="E71" s="83">
        <v>255255</v>
      </c>
    </row>
  </sheetData>
  <mergeCells count="4">
    <mergeCell ref="K42:W42"/>
    <mergeCell ref="B3:C3"/>
    <mergeCell ref="K4:T4"/>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0326-345A-4986-9024-B387E684CBA0}">
  <dimension ref="A1:W51"/>
  <sheetViews>
    <sheetView workbookViewId="0">
      <pane xSplit="3" ySplit="4" topLeftCell="D5" activePane="bottomRight" state="frozen"/>
      <selection pane="topRight" activeCell="D1" sqref="D1"/>
      <selection pane="bottomLeft" activeCell="A3" sqref="A3"/>
      <selection pane="bottomRight" activeCell="A2" sqref="A2"/>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3" x14ac:dyDescent="0.25">
      <c r="A1" s="104" t="s">
        <v>765</v>
      </c>
      <c r="B1" s="104"/>
      <c r="C1" s="104"/>
      <c r="D1" s="104"/>
      <c r="E1" s="104"/>
      <c r="F1" s="104"/>
      <c r="G1" s="104"/>
      <c r="H1" s="104"/>
      <c r="I1" s="104"/>
      <c r="J1" s="104"/>
      <c r="K1" s="3"/>
    </row>
    <row r="2" spans="1:23" x14ac:dyDescent="0.25">
      <c r="A2" s="3" t="s">
        <v>877</v>
      </c>
      <c r="K2" s="3"/>
    </row>
    <row r="3" spans="1:23" x14ac:dyDescent="0.25">
      <c r="A3" s="10" t="s">
        <v>874</v>
      </c>
      <c r="B3" s="5" t="s">
        <v>80</v>
      </c>
      <c r="C3" s="5" t="s">
        <v>81</v>
      </c>
      <c r="D3" s="2" t="s">
        <v>82</v>
      </c>
      <c r="E3" s="11" t="s">
        <v>83</v>
      </c>
      <c r="F3" s="12" t="s">
        <v>84</v>
      </c>
      <c r="G3" s="12" t="s">
        <v>85</v>
      </c>
      <c r="H3" s="13" t="s">
        <v>86</v>
      </c>
      <c r="I3" s="14" t="s">
        <v>87</v>
      </c>
      <c r="J3" s="40" t="s">
        <v>477</v>
      </c>
      <c r="K3" s="3" t="s">
        <v>134</v>
      </c>
      <c r="L3" s="1" t="s">
        <v>347</v>
      </c>
      <c r="M3" s="1" t="s">
        <v>353</v>
      </c>
      <c r="N3" s="1" t="s">
        <v>348</v>
      </c>
      <c r="O3" s="1" t="s">
        <v>351</v>
      </c>
    </row>
    <row r="4" spans="1:23" customFormat="1" x14ac:dyDescent="0.25">
      <c r="A4" s="39" t="s">
        <v>88</v>
      </c>
      <c r="B4" s="55"/>
      <c r="C4" s="55"/>
      <c r="D4" s="55"/>
      <c r="E4" s="55"/>
      <c r="F4" s="55"/>
      <c r="G4" s="55"/>
      <c r="H4" s="55"/>
      <c r="I4" s="55"/>
      <c r="J4" s="56"/>
      <c r="K4" s="101"/>
      <c r="L4" s="102"/>
      <c r="M4" s="102"/>
      <c r="N4" s="102"/>
      <c r="O4" s="102"/>
      <c r="P4" s="102"/>
      <c r="Q4" s="102"/>
      <c r="R4" s="102"/>
      <c r="S4" s="102"/>
      <c r="T4" s="103"/>
    </row>
    <row r="5" spans="1:23" s="69" customFormat="1" x14ac:dyDescent="0.25">
      <c r="A5" s="70" t="str">
        <f>IF('DATI LOGICI'!A3&lt;&gt;"",'DATI LOGICI'!A3,"")</f>
        <v>Firmware macchina</v>
      </c>
      <c r="B5" s="68">
        <f>IF('DATI LOGICI'!B3&lt;&gt;"",'DATI LOGICI'!B3,"")</f>
        <v>0</v>
      </c>
      <c r="C5" s="68">
        <f>IF('DATI LOGICI'!C3&lt;&gt;"",'DATI LOGICI'!C3,"")</f>
        <v>0</v>
      </c>
      <c r="D5" s="68" t="str">
        <f>IF('DATI LOGICI'!D3&lt;&gt;"",'DATI LOGICI'!D3,"")</f>
        <v xml:space="preserve">uint16_t </v>
      </c>
      <c r="E5" s="68" t="str">
        <f>IF('DATI LOGICI'!E3&lt;&gt;"",'DATI LOGICI'!E3,"")</f>
        <v>255.255</v>
      </c>
      <c r="F5" s="68">
        <f>IF('DATI LOGICI'!F3&lt;&gt;"",'DATI LOGICI'!F3,"")</f>
        <v>0</v>
      </c>
      <c r="G5" s="68" t="str">
        <f>IF('DATI LOGICI'!G3&lt;&gt;"",'DATI LOGICI'!G3,"")</f>
        <v>255.255</v>
      </c>
      <c r="H5" s="68" t="str">
        <f>IF('DATI LOGICI'!H3&lt;&gt;"",'DATI LOGICI'!H3,"")</f>
        <v/>
      </c>
      <c r="I5" s="68" t="str">
        <f>IF('DATI LOGICI'!I3&lt;&gt;"",'DATI LOGICI'!I3,"")</f>
        <v>R</v>
      </c>
      <c r="J5" s="68"/>
      <c r="K5" s="68"/>
      <c r="L5" s="68"/>
      <c r="M5" s="68"/>
      <c r="N5" s="68"/>
      <c r="O5" s="68"/>
      <c r="P5" s="68"/>
      <c r="Q5" s="68"/>
      <c r="R5" s="68"/>
      <c r="S5" s="68"/>
      <c r="T5" s="68"/>
      <c r="U5" s="68"/>
      <c r="V5" s="68"/>
      <c r="W5" s="68"/>
    </row>
    <row r="6" spans="1:23" s="69" customFormat="1" x14ac:dyDescent="0.25">
      <c r="A6" s="70" t="str">
        <f>IF('DATI LOGICI'!A4&lt;&gt;"",'DATI LOGICI'!A4,"")</f>
        <v>Firmware scheda</v>
      </c>
      <c r="B6" s="68">
        <f>IF('DATI LOGICI'!B4&lt;&gt;"",'DATI LOGICI'!B4,"")</f>
        <v>0</v>
      </c>
      <c r="C6" s="68">
        <f>IF('DATI LOGICI'!C4&lt;&gt;"",'DATI LOGICI'!C4,"")</f>
        <v>1</v>
      </c>
      <c r="D6" s="68" t="str">
        <f>IF('DATI LOGICI'!D4&lt;&gt;"",'DATI LOGICI'!D4,"")</f>
        <v xml:space="preserve">uint16_t </v>
      </c>
      <c r="E6" s="68" t="str">
        <f>IF('DATI LOGICI'!E4&lt;&gt;"",'DATI LOGICI'!E4,"")</f>
        <v>255.255</v>
      </c>
      <c r="F6" s="68">
        <f>IF('DATI LOGICI'!F4&lt;&gt;"",'DATI LOGICI'!F4,"")</f>
        <v>0</v>
      </c>
      <c r="G6" s="68" t="str">
        <f>IF('DATI LOGICI'!G4&lt;&gt;"",'DATI LOGICI'!G4,"")</f>
        <v>255.255</v>
      </c>
      <c r="H6" s="68" t="str">
        <f>IF('DATI LOGICI'!H4&lt;&gt;"",'DATI LOGICI'!H4,"")</f>
        <v/>
      </c>
      <c r="I6" s="68" t="str">
        <f>IF('DATI LOGICI'!I4&lt;&gt;"",'DATI LOGICI'!I4,"")</f>
        <v>R</v>
      </c>
      <c r="J6" s="68"/>
      <c r="K6" s="68"/>
      <c r="L6" s="68"/>
      <c r="M6" s="68"/>
      <c r="N6" s="68"/>
      <c r="O6" s="68"/>
      <c r="P6" s="68"/>
      <c r="Q6" s="68"/>
      <c r="R6" s="68"/>
      <c r="S6" s="68"/>
      <c r="T6" s="68"/>
      <c r="U6" s="68"/>
      <c r="V6" s="68"/>
      <c r="W6" s="68"/>
    </row>
    <row r="7" spans="1:23" s="69" customFormat="1" x14ac:dyDescent="0.25">
      <c r="A7" s="70" t="str">
        <f>IF('DATI LOGICI'!A5&lt;&gt;"",'DATI LOGICI'!A5,"")</f>
        <v>Modello</v>
      </c>
      <c r="B7" s="68">
        <f>IF('DATI LOGICI'!B5&lt;&gt;"",'DATI LOGICI'!B5,"")</f>
        <v>0</v>
      </c>
      <c r="C7" s="68">
        <f>IF('DATI LOGICI'!C5&lt;&gt;"",'DATI LOGICI'!C5,"")</f>
        <v>2</v>
      </c>
      <c r="D7" s="68" t="str">
        <f>IF('DATI LOGICI'!D5&lt;&gt;"",'DATI LOGICI'!D5,"")</f>
        <v>String[20]</v>
      </c>
      <c r="E7" s="68" t="str">
        <f>IF('DATI LOGICI'!E5&lt;&gt;"",'DATI LOGICI'!E5,"")</f>
        <v/>
      </c>
      <c r="F7" s="68" t="str">
        <f>IF('DATI LOGICI'!F5&lt;&gt;"",'DATI LOGICI'!F5,"")</f>
        <v/>
      </c>
      <c r="G7" s="68" t="str">
        <f>IF('DATI LOGICI'!G5&lt;&gt;"",'DATI LOGICI'!G5,"")</f>
        <v/>
      </c>
      <c r="H7" s="68" t="str">
        <f>IF('DATI LOGICI'!H5&lt;&gt;"",'DATI LOGICI'!H5,"")</f>
        <v/>
      </c>
      <c r="I7" s="68" t="str">
        <f>IF('DATI LOGICI'!I5&lt;&gt;"",'DATI LOGICI'!I5,"")</f>
        <v>R</v>
      </c>
      <c r="J7" s="68"/>
      <c r="K7" s="68"/>
      <c r="L7" s="68"/>
      <c r="M7" s="68"/>
      <c r="N7" s="68"/>
      <c r="O7" s="68"/>
      <c r="P7" s="68"/>
      <c r="Q7" s="68"/>
      <c r="R7" s="68"/>
      <c r="S7" s="68"/>
      <c r="T7" s="68"/>
      <c r="U7" s="68"/>
      <c r="V7" s="68"/>
      <c r="W7" s="68"/>
    </row>
    <row r="8" spans="1:23" s="69" customFormat="1" x14ac:dyDescent="0.25">
      <c r="A8" s="70" t="str">
        <f>IF('DATI LOGICI'!A6&lt;&gt;"",'DATI LOGICI'!A6,"")</f>
        <v>Matricola</v>
      </c>
      <c r="B8" s="68">
        <f>IF('DATI LOGICI'!B6&lt;&gt;"",'DATI LOGICI'!B6,"")</f>
        <v>0</v>
      </c>
      <c r="C8" s="68">
        <f>IF('DATI LOGICI'!C6&lt;&gt;"",'DATI LOGICI'!C6,"")</f>
        <v>3</v>
      </c>
      <c r="D8" s="68" t="str">
        <f>IF('DATI LOGICI'!D6&lt;&gt;"",'DATI LOGICI'!D6,"")</f>
        <v xml:space="preserve">uint32_t </v>
      </c>
      <c r="E8" s="68" t="str">
        <f>IF('DATI LOGICI'!E6&lt;&gt;"",'DATI LOGICI'!E6,"")</f>
        <v/>
      </c>
      <c r="F8" s="68">
        <f>IF('DATI LOGICI'!F6&lt;&gt;"",'DATI LOGICI'!F6,"")</f>
        <v>0</v>
      </c>
      <c r="G8" s="68">
        <f>IF('DATI LOGICI'!G6&lt;&gt;"",'DATI LOGICI'!G6,"")</f>
        <v>4294967296</v>
      </c>
      <c r="H8" s="68" t="str">
        <f>IF('DATI LOGICI'!H6&lt;&gt;"",'DATI LOGICI'!H6,"")</f>
        <v/>
      </c>
      <c r="I8" s="68" t="str">
        <f>IF('DATI LOGICI'!I6&lt;&gt;"",'DATI LOGICI'!I6,"")</f>
        <v>RW</v>
      </c>
      <c r="J8" s="68"/>
      <c r="K8" s="68"/>
      <c r="L8" s="68"/>
      <c r="M8" s="68"/>
      <c r="N8" s="68"/>
      <c r="O8" s="68"/>
      <c r="P8" s="68"/>
      <c r="Q8" s="68"/>
      <c r="R8" s="68"/>
      <c r="S8" s="68"/>
      <c r="T8" s="68"/>
      <c r="U8" s="68"/>
      <c r="V8" s="68"/>
      <c r="W8" s="68"/>
    </row>
    <row r="9" spans="1:23" s="69" customFormat="1" x14ac:dyDescent="0.25">
      <c r="A9" s="70" t="str">
        <f>IF('DATI LOGICI'!A7&lt;&gt;"",'DATI LOGICI'!A7,"")</f>
        <v>Tipo scheda</v>
      </c>
      <c r="B9" s="68">
        <f>IF('DATI LOGICI'!B7&lt;&gt;"",'DATI LOGICI'!B7,"")</f>
        <v>0</v>
      </c>
      <c r="C9" s="68">
        <f>IF('DATI LOGICI'!C7&lt;&gt;"",'DATI LOGICI'!C7,"")</f>
        <v>4</v>
      </c>
      <c r="D9" s="68" t="str">
        <f>IF('DATI LOGICI'!D7&lt;&gt;"",'DATI LOGICI'!D7,"")</f>
        <v>enum dipendente dalle macchine</v>
      </c>
      <c r="E9" s="68" t="str">
        <f>IF('DATI LOGICI'!E7&lt;&gt;"",'DATI LOGICI'!E7,"")</f>
        <v/>
      </c>
      <c r="F9" s="68" t="str">
        <f>IF('DATI LOGICI'!F7&lt;&gt;"",'DATI LOGICI'!F7,"")</f>
        <v/>
      </c>
      <c r="G9" s="68" t="str">
        <f>IF('DATI LOGICI'!G7&lt;&gt;"",'DATI LOGICI'!G7,"")</f>
        <v/>
      </c>
      <c r="H9" s="68" t="str">
        <f>IF('DATI LOGICI'!H7&lt;&gt;"",'DATI LOGICI'!H7,"")</f>
        <v/>
      </c>
      <c r="I9" s="68" t="str">
        <f>IF('DATI LOGICI'!I7&lt;&gt;"",'DATI LOGICI'!I7,"")</f>
        <v>N</v>
      </c>
      <c r="J9" s="68"/>
      <c r="K9" s="68"/>
      <c r="L9" s="68"/>
      <c r="M9" s="68"/>
      <c r="N9" s="68"/>
      <c r="O9" s="68"/>
      <c r="P9" s="68"/>
      <c r="Q9" s="68"/>
      <c r="R9" s="68"/>
      <c r="S9" s="68"/>
      <c r="T9" s="68"/>
      <c r="U9" s="68"/>
      <c r="V9" s="68"/>
      <c r="W9" s="68"/>
    </row>
    <row r="10" spans="1:23" s="69" customFormat="1" x14ac:dyDescent="0.25">
      <c r="A10" s="70" t="str">
        <f>IF('DATI LOGICI'!A8&lt;&gt;"",'DATI LOGICI'!A8,"")</f>
        <v>Stato</v>
      </c>
      <c r="B10" s="68">
        <f>IF('DATI LOGICI'!B8&lt;&gt;"",'DATI LOGICI'!B8,"")</f>
        <v>0</v>
      </c>
      <c r="C10" s="68">
        <f>IF('DATI LOGICI'!C8&lt;&gt;"",'DATI LOGICI'!C8,"")</f>
        <v>5</v>
      </c>
      <c r="D10" s="68" t="str">
        <f>IF('DATI LOGICI'!D8&lt;&gt;"",'DATI LOGICI'!D8,"")</f>
        <v>3*uint32_t</v>
      </c>
      <c r="E10" s="68" t="str">
        <f>IF('DATI LOGICI'!E8&lt;&gt;"",'DATI LOGICI'!E8,"")</f>
        <v/>
      </c>
      <c r="F10" s="68" t="str">
        <f>IF('DATI LOGICI'!F8&lt;&gt;"",'DATI LOGICI'!F8,"")</f>
        <v/>
      </c>
      <c r="G10" s="68" t="str">
        <f>IF('DATI LOGICI'!G8&lt;&gt;"",'DATI LOGICI'!G8,"")</f>
        <v/>
      </c>
      <c r="H10" s="68" t="str">
        <f>IF('DATI LOGICI'!H8&lt;&gt;"",'DATI LOGICI'!H8,"")</f>
        <v/>
      </c>
      <c r="I10" s="68" t="str">
        <f>IF('DATI LOGICI'!I8&lt;&gt;"",'DATI LOGICI'!I8,"")</f>
        <v>R</v>
      </c>
      <c r="J10" s="68"/>
      <c r="K10" s="1" t="s">
        <v>456</v>
      </c>
      <c r="L10" s="68"/>
      <c r="M10" s="68"/>
      <c r="N10" s="68"/>
      <c r="O10" s="68"/>
      <c r="P10" s="68"/>
      <c r="Q10" s="68"/>
      <c r="R10" s="68"/>
      <c r="S10" s="68"/>
      <c r="T10" s="68"/>
      <c r="U10" s="68"/>
      <c r="V10" s="68"/>
      <c r="W10" s="68"/>
    </row>
    <row r="11" spans="1:23" s="69" customFormat="1" ht="135" x14ac:dyDescent="0.25">
      <c r="A11" s="70" t="str">
        <f>IF('DATI LOGICI'!A9&lt;&gt;"",'DATI LOGICI'!A9,"")</f>
        <v>Allarmi</v>
      </c>
      <c r="B11" s="68">
        <f>IF('DATI LOGICI'!B9&lt;&gt;"",'DATI LOGICI'!B9,"")</f>
        <v>0</v>
      </c>
      <c r="C11" s="68">
        <f>IF('DATI LOGICI'!C9&lt;&gt;"",'DATI LOGICI'!C9,"")</f>
        <v>6</v>
      </c>
      <c r="D11" s="68" t="str">
        <f>IF('DATI LOGICI'!D9&lt;&gt;"",'DATI LOGICI'!D9,"")</f>
        <v xml:space="preserve">due word uint16_t bitmapped </v>
      </c>
      <c r="E11" s="68" t="str">
        <f>IF('DATI LOGICI'!E9&lt;&gt;"",'DATI LOGICI'!E9,"")</f>
        <v/>
      </c>
      <c r="F11" s="68" t="str">
        <f>IF('DATI LOGICI'!F9&lt;&gt;"",'DATI LOGICI'!F9,"")</f>
        <v/>
      </c>
      <c r="G11" s="68" t="str">
        <f>IF('DATI LOGICI'!G9&lt;&gt;"",'DATI LOGICI'!G9,"")</f>
        <v/>
      </c>
      <c r="H11" s="68" t="str">
        <f>IF('DATI LOGICI'!H9&lt;&gt;"",'DATI LOGICI'!H9,"")</f>
        <v/>
      </c>
      <c r="I11" s="68" t="str">
        <f>IF('DATI LOGICI'!I9&lt;&gt;"",'DATI LOGICI'!I9,"")</f>
        <v>R</v>
      </c>
      <c r="J11" s="68"/>
      <c r="K11" s="38" t="s">
        <v>599</v>
      </c>
      <c r="L11" s="68"/>
      <c r="M11" s="68"/>
      <c r="N11" s="68"/>
      <c r="O11" s="68"/>
      <c r="P11" s="68"/>
      <c r="Q11" s="68"/>
      <c r="R11" s="68"/>
      <c r="S11" s="68"/>
      <c r="T11" s="68"/>
      <c r="U11" s="68"/>
      <c r="V11" s="68"/>
      <c r="W11" s="68"/>
    </row>
    <row r="12" spans="1:23" s="69" customFormat="1" x14ac:dyDescent="0.25">
      <c r="A12" s="70" t="str">
        <f>IF('DATI LOGICI'!A10&lt;&gt;"",'DATI LOGICI'!A10,"")</f>
        <v>Comandi</v>
      </c>
      <c r="B12" s="68">
        <f>IF('DATI LOGICI'!B10&lt;&gt;"",'DATI LOGICI'!B10,"")</f>
        <v>0</v>
      </c>
      <c r="C12" s="68">
        <f>IF('DATI LOGICI'!C10&lt;&gt;"",'DATI LOGICI'!C10,"")</f>
        <v>7</v>
      </c>
      <c r="D12" s="68" t="str">
        <f>IF('DATI LOGICI'!D10&lt;&gt;"",'DATI LOGICI'!D10,"")</f>
        <v xml:space="preserve">uint16_t </v>
      </c>
      <c r="E12" s="68" t="str">
        <f>IF('DATI LOGICI'!E10&lt;&gt;"",'DATI LOGICI'!E10,"")</f>
        <v/>
      </c>
      <c r="F12" s="68" t="str">
        <f>IF('DATI LOGICI'!F10&lt;&gt;"",'DATI LOGICI'!F10,"")</f>
        <v/>
      </c>
      <c r="G12" s="68" t="str">
        <f>IF('DATI LOGICI'!G10&lt;&gt;"",'DATI LOGICI'!G10,"")</f>
        <v/>
      </c>
      <c r="H12" s="68" t="str">
        <f>IF('DATI LOGICI'!H10&lt;&gt;"",'DATI LOGICI'!H10,"")</f>
        <v/>
      </c>
      <c r="I12" s="68" t="str">
        <f>IF('DATI LOGICI'!I10&lt;&gt;"",'DATI LOGICI'!I10,"")</f>
        <v>N</v>
      </c>
      <c r="J12" s="68"/>
      <c r="K12" s="68"/>
      <c r="L12" s="68"/>
      <c r="M12" s="68"/>
      <c r="N12" s="68"/>
      <c r="O12" s="68"/>
      <c r="P12" s="68"/>
      <c r="Q12" s="68"/>
      <c r="R12" s="68"/>
      <c r="S12" s="68"/>
      <c r="T12" s="68"/>
      <c r="U12" s="68"/>
      <c r="V12" s="68"/>
      <c r="W12" s="68"/>
    </row>
    <row r="13" spans="1:23" s="69" customFormat="1" x14ac:dyDescent="0.25">
      <c r="A13" s="71" t="str">
        <f>IF('DATI LOGICI'!A11&lt;&gt;"",'DATI LOGICI'!A11,"")</f>
        <v>Temperatura scheda</v>
      </c>
      <c r="B13" s="68">
        <f>IF('DATI LOGICI'!B11&lt;&gt;"",'DATI LOGICI'!B11,"")</f>
        <v>0</v>
      </c>
      <c r="C13" s="68">
        <f>IF('DATI LOGICI'!C11&lt;&gt;"",'DATI LOGICI'!C11,"")</f>
        <v>8</v>
      </c>
      <c r="D13" s="68" t="str">
        <f>IF('DATI LOGICI'!D11&lt;&gt;"",'DATI LOGICI'!D11,"")</f>
        <v xml:space="preserve">uint16_t </v>
      </c>
      <c r="E13" s="68" t="str">
        <f>IF('DATI LOGICI'!E11&lt;&gt;"",'DATI LOGICI'!E11,"")</f>
        <v/>
      </c>
      <c r="F13" s="68" t="str">
        <f>IF('DATI LOGICI'!F11&lt;&gt;"",'DATI LOGICI'!F11,"")</f>
        <v/>
      </c>
      <c r="G13" s="68" t="str">
        <f>IF('DATI LOGICI'!G11&lt;&gt;"",'DATI LOGICI'!G11,"")</f>
        <v/>
      </c>
      <c r="H13" s="68" t="str">
        <f>IF('DATI LOGICI'!H11&lt;&gt;"",'DATI LOGICI'!H11,"")</f>
        <v/>
      </c>
      <c r="I13" s="68" t="str">
        <f>IF('DATI LOGICI'!I11&lt;&gt;"",'DATI LOGICI'!I11,"")</f>
        <v>R</v>
      </c>
      <c r="J13" s="68"/>
      <c r="K13" s="68"/>
      <c r="L13" s="68"/>
      <c r="M13" s="68"/>
      <c r="N13" s="68"/>
      <c r="O13" s="68"/>
      <c r="P13" s="68"/>
      <c r="Q13" s="68"/>
      <c r="R13" s="68"/>
      <c r="S13" s="68"/>
      <c r="T13" s="68"/>
      <c r="U13" s="68"/>
      <c r="V13" s="68"/>
      <c r="W13" s="68"/>
    </row>
    <row r="14" spans="1:23" s="69" customFormat="1" x14ac:dyDescent="0.25">
      <c r="A14" s="68" t="str">
        <f>IF('DATI LOGICI'!A12&lt;&gt;"",'DATI LOGICI'!A12,"")</f>
        <v>Secondi lavoro motore parziale</v>
      </c>
      <c r="B14" s="68">
        <f>IF('DATI LOGICI'!B12&lt;&gt;"",'DATI LOGICI'!B12,"")</f>
        <v>0</v>
      </c>
      <c r="C14" s="68">
        <f>IF('DATI LOGICI'!C12&lt;&gt;"",'DATI LOGICI'!C12,"")</f>
        <v>9</v>
      </c>
      <c r="D14" s="68" t="str">
        <f>IF('DATI LOGICI'!D12&lt;&gt;"",'DATI LOGICI'!D12,"")</f>
        <v xml:space="preserve">uint32_t </v>
      </c>
      <c r="E14" s="68" t="str">
        <f>IF('DATI LOGICI'!E12&lt;&gt;"",'DATI LOGICI'!E12,"")</f>
        <v/>
      </c>
      <c r="F14" s="68" t="str">
        <f>IF('DATI LOGICI'!F12&lt;&gt;"",'DATI LOGICI'!F12,"")</f>
        <v/>
      </c>
      <c r="G14" s="68" t="str">
        <f>IF('DATI LOGICI'!G12&lt;&gt;"",'DATI LOGICI'!G12,"")</f>
        <v/>
      </c>
      <c r="H14" s="68" t="str">
        <f>IF('DATI LOGICI'!H12&lt;&gt;"",'DATI LOGICI'!H12,"")</f>
        <v/>
      </c>
      <c r="I14" s="68" t="str">
        <f>IF('DATI LOGICI'!I12&lt;&gt;"",'DATI LOGICI'!I12,"")</f>
        <v>RW</v>
      </c>
      <c r="J14" s="68"/>
      <c r="K14" s="68"/>
      <c r="L14" s="68"/>
      <c r="M14" s="68"/>
      <c r="N14" s="68"/>
      <c r="O14" s="68"/>
      <c r="P14" s="68"/>
      <c r="Q14" s="68"/>
      <c r="R14" s="68"/>
      <c r="S14" s="68"/>
      <c r="T14" s="68"/>
      <c r="U14" s="68"/>
      <c r="V14" s="68"/>
      <c r="W14" s="68"/>
    </row>
    <row r="15" spans="1:23" s="69" customFormat="1" x14ac:dyDescent="0.25">
      <c r="A15" s="68" t="str">
        <f>IF('DATI LOGICI'!A13&lt;&gt;"",'DATI LOGICI'!A13,"")</f>
        <v>Secondi lavoro motore totale</v>
      </c>
      <c r="B15" s="68">
        <f>IF('DATI LOGICI'!B13&lt;&gt;"",'DATI LOGICI'!B13,"")</f>
        <v>0</v>
      </c>
      <c r="C15" s="68" t="str">
        <f>IF('DATI LOGICI'!C13&lt;&gt;"",'DATI LOGICI'!C13,"")</f>
        <v>A</v>
      </c>
      <c r="D15" s="68" t="str">
        <f>IF('DATI LOGICI'!D13&lt;&gt;"",'DATI LOGICI'!D13,"")</f>
        <v xml:space="preserve">uint32_t </v>
      </c>
      <c r="E15" s="68" t="str">
        <f>IF('DATI LOGICI'!E13&lt;&gt;"",'DATI LOGICI'!E13,"")</f>
        <v/>
      </c>
      <c r="F15" s="68" t="str">
        <f>IF('DATI LOGICI'!F13&lt;&gt;"",'DATI LOGICI'!F13,"")</f>
        <v/>
      </c>
      <c r="G15" s="68" t="str">
        <f>IF('DATI LOGICI'!G13&lt;&gt;"",'DATI LOGICI'!G13,"")</f>
        <v/>
      </c>
      <c r="H15" s="68" t="str">
        <f>IF('DATI LOGICI'!H13&lt;&gt;"",'DATI LOGICI'!H13,"")</f>
        <v/>
      </c>
      <c r="I15" s="68" t="str">
        <f>IF('DATI LOGICI'!I13&lt;&gt;"",'DATI LOGICI'!I13,"")</f>
        <v>RW</v>
      </c>
      <c r="J15" s="68"/>
      <c r="K15" s="68"/>
      <c r="L15" s="68"/>
      <c r="M15" s="68"/>
      <c r="N15" s="68"/>
      <c r="O15" s="68"/>
      <c r="P15" s="68"/>
      <c r="Q15" s="68"/>
      <c r="R15" s="68"/>
      <c r="S15" s="68"/>
      <c r="T15" s="68"/>
      <c r="U15" s="68"/>
      <c r="V15" s="68"/>
      <c r="W15" s="68"/>
    </row>
    <row r="16" spans="1:23" s="69" customFormat="1" x14ac:dyDescent="0.25">
      <c r="A16" s="68" t="str">
        <f>IF('DATI LOGICI'!A14&lt;&gt;"",'DATI LOGICI'!A14,"")</f>
        <v>Cicli complessivi parziale</v>
      </c>
      <c r="B16" s="68">
        <f>IF('DATI LOGICI'!B14&lt;&gt;"",'DATI LOGICI'!B14,"")</f>
        <v>0</v>
      </c>
      <c r="C16" s="68" t="str">
        <f>IF('DATI LOGICI'!C14&lt;&gt;"",'DATI LOGICI'!C14,"")</f>
        <v>B</v>
      </c>
      <c r="D16" s="68" t="str">
        <f>IF('DATI LOGICI'!D14&lt;&gt;"",'DATI LOGICI'!D14,"")</f>
        <v xml:space="preserve">uint32_t </v>
      </c>
      <c r="E16" s="68" t="str">
        <f>IF('DATI LOGICI'!E14&lt;&gt;"",'DATI LOGICI'!E14,"")</f>
        <v/>
      </c>
      <c r="F16" s="68" t="str">
        <f>IF('DATI LOGICI'!F14&lt;&gt;"",'DATI LOGICI'!F14,"")</f>
        <v/>
      </c>
      <c r="G16" s="68" t="str">
        <f>IF('DATI LOGICI'!G14&lt;&gt;"",'DATI LOGICI'!G14,"")</f>
        <v/>
      </c>
      <c r="H16" s="68" t="str">
        <f>IF('DATI LOGICI'!H14&lt;&gt;"",'DATI LOGICI'!H14,"")</f>
        <v/>
      </c>
      <c r="I16" s="68" t="str">
        <f>IF('DATI LOGICI'!I14&lt;&gt;"",'DATI LOGICI'!I14,"")</f>
        <v>RW</v>
      </c>
      <c r="J16" s="68"/>
      <c r="K16" s="68"/>
      <c r="L16" s="68"/>
      <c r="M16" s="68"/>
      <c r="N16" s="68"/>
      <c r="O16" s="68"/>
      <c r="P16" s="68"/>
      <c r="Q16" s="68"/>
      <c r="R16" s="68"/>
      <c r="S16" s="68"/>
      <c r="T16" s="68"/>
      <c r="U16" s="68"/>
      <c r="V16" s="68"/>
      <c r="W16" s="68"/>
    </row>
    <row r="17" spans="1:23" s="69" customFormat="1" x14ac:dyDescent="0.25">
      <c r="A17" s="68" t="str">
        <f>IF('DATI LOGICI'!A15&lt;&gt;"",'DATI LOGICI'!A15,"")</f>
        <v>Cicli complessivi totale</v>
      </c>
      <c r="B17" s="68">
        <f>IF('DATI LOGICI'!B15&lt;&gt;"",'DATI LOGICI'!B15,"")</f>
        <v>0</v>
      </c>
      <c r="C17" s="68" t="str">
        <f>IF('DATI LOGICI'!C15&lt;&gt;"",'DATI LOGICI'!C15,"")</f>
        <v>C</v>
      </c>
      <c r="D17" s="68" t="str">
        <f>IF('DATI LOGICI'!D15&lt;&gt;"",'DATI LOGICI'!D15,"")</f>
        <v xml:space="preserve">uint32_t </v>
      </c>
      <c r="E17" s="68" t="str">
        <f>IF('DATI LOGICI'!E15&lt;&gt;"",'DATI LOGICI'!E15,"")</f>
        <v/>
      </c>
      <c r="F17" s="68" t="str">
        <f>IF('DATI LOGICI'!F15&lt;&gt;"",'DATI LOGICI'!F15,"")</f>
        <v/>
      </c>
      <c r="G17" s="68" t="str">
        <f>IF('DATI LOGICI'!G15&lt;&gt;"",'DATI LOGICI'!G15,"")</f>
        <v/>
      </c>
      <c r="H17" s="68" t="str">
        <f>IF('DATI LOGICI'!H15&lt;&gt;"",'DATI LOGICI'!H15,"")</f>
        <v/>
      </c>
      <c r="I17" s="68" t="str">
        <f>IF('DATI LOGICI'!I15&lt;&gt;"",'DATI LOGICI'!I15,"")</f>
        <v>RW</v>
      </c>
      <c r="J17" s="68"/>
      <c r="K17" s="68"/>
      <c r="L17" s="68"/>
      <c r="M17" s="68"/>
      <c r="N17" s="68"/>
      <c r="O17" s="68"/>
      <c r="P17" s="68"/>
      <c r="Q17" s="68"/>
      <c r="R17" s="68"/>
      <c r="S17" s="68"/>
      <c r="T17" s="68"/>
      <c r="U17" s="68"/>
      <c r="V17" s="68"/>
      <c r="W17" s="68"/>
    </row>
    <row r="18" spans="1:23" s="69" customFormat="1" x14ac:dyDescent="0.25">
      <c r="A18" s="68" t="str">
        <f>IF('DATI LOGICI'!A16&lt;&gt;"",'DATI LOGICI'!A16,"")</f>
        <v>Cicli completi eseguiti parziale</v>
      </c>
      <c r="B18" s="68">
        <f>IF('DATI LOGICI'!B16&lt;&gt;"",'DATI LOGICI'!B16,"")</f>
        <v>0</v>
      </c>
      <c r="C18" s="68" t="str">
        <f>IF('DATI LOGICI'!C16&lt;&gt;"",'DATI LOGICI'!C16,"")</f>
        <v>D</v>
      </c>
      <c r="D18" s="68" t="str">
        <f>IF('DATI LOGICI'!D16&lt;&gt;"",'DATI LOGICI'!D16,"")</f>
        <v xml:space="preserve">uint32_t </v>
      </c>
      <c r="E18" s="68" t="str">
        <f>IF('DATI LOGICI'!E16&lt;&gt;"",'DATI LOGICI'!E16,"")</f>
        <v/>
      </c>
      <c r="F18" s="68" t="str">
        <f>IF('DATI LOGICI'!F16&lt;&gt;"",'DATI LOGICI'!F16,"")</f>
        <v/>
      </c>
      <c r="G18" s="68" t="str">
        <f>IF('DATI LOGICI'!G16&lt;&gt;"",'DATI LOGICI'!G16,"")</f>
        <v/>
      </c>
      <c r="H18" s="68" t="str">
        <f>IF('DATI LOGICI'!H16&lt;&gt;"",'DATI LOGICI'!H16,"")</f>
        <v/>
      </c>
      <c r="I18" s="68" t="str">
        <f>IF('DATI LOGICI'!I16&lt;&gt;"",'DATI LOGICI'!I16,"")</f>
        <v>RW</v>
      </c>
      <c r="J18" s="68"/>
      <c r="K18" s="68"/>
      <c r="L18" s="68"/>
      <c r="M18" s="68"/>
      <c r="N18" s="68"/>
      <c r="O18" s="68"/>
      <c r="P18" s="68"/>
      <c r="Q18" s="68"/>
      <c r="R18" s="68"/>
      <c r="S18" s="68"/>
      <c r="T18" s="68"/>
      <c r="U18" s="68"/>
      <c r="V18" s="68"/>
      <c r="W18" s="68"/>
    </row>
    <row r="19" spans="1:23" s="69" customFormat="1" x14ac:dyDescent="0.25">
      <c r="A19" s="68" t="str">
        <f>IF('DATI LOGICI'!A17&lt;&gt;"",'DATI LOGICI'!A17,"")</f>
        <v>Cicli completi eseguiti totale</v>
      </c>
      <c r="B19" s="68">
        <f>IF('DATI LOGICI'!B17&lt;&gt;"",'DATI LOGICI'!B17,"")</f>
        <v>0</v>
      </c>
      <c r="C19" s="68" t="str">
        <f>IF('DATI LOGICI'!C17&lt;&gt;"",'DATI LOGICI'!C17,"")</f>
        <v>E</v>
      </c>
      <c r="D19" s="68" t="str">
        <f>IF('DATI LOGICI'!D17&lt;&gt;"",'DATI LOGICI'!D17,"")</f>
        <v xml:space="preserve">uint32_t </v>
      </c>
      <c r="E19" s="68" t="str">
        <f>IF('DATI LOGICI'!E17&lt;&gt;"",'DATI LOGICI'!E17,"")</f>
        <v/>
      </c>
      <c r="F19" s="68" t="str">
        <f>IF('DATI LOGICI'!F17&lt;&gt;"",'DATI LOGICI'!F17,"")</f>
        <v/>
      </c>
      <c r="G19" s="68" t="str">
        <f>IF('DATI LOGICI'!G17&lt;&gt;"",'DATI LOGICI'!G17,"")</f>
        <v/>
      </c>
      <c r="H19" s="68" t="str">
        <f>IF('DATI LOGICI'!H17&lt;&gt;"",'DATI LOGICI'!H17,"")</f>
        <v/>
      </c>
      <c r="I19" s="68" t="str">
        <f>IF('DATI LOGICI'!I17&lt;&gt;"",'DATI LOGICI'!I17,"")</f>
        <v>RW</v>
      </c>
      <c r="J19" s="68"/>
      <c r="K19" s="68"/>
      <c r="L19" s="68"/>
      <c r="M19" s="68"/>
      <c r="N19" s="68"/>
      <c r="O19" s="68"/>
      <c r="P19" s="68"/>
      <c r="Q19" s="68"/>
      <c r="R19" s="68"/>
      <c r="S19" s="68"/>
      <c r="T19" s="68"/>
      <c r="U19" s="68"/>
      <c r="V19" s="68"/>
      <c r="W19" s="68"/>
    </row>
    <row r="20" spans="1:23" s="69" customFormat="1" x14ac:dyDescent="0.25">
      <c r="A20" s="68" t="str">
        <f>IF('DATI LOGICI'!A18&lt;&gt;"",'DATI LOGICI'!A18,"")</f>
        <v>Livello batteria</v>
      </c>
      <c r="B20" s="68">
        <f>IF('DATI LOGICI'!B18&lt;&gt;"",'DATI LOGICI'!B18,"")</f>
        <v>0</v>
      </c>
      <c r="C20" s="68" t="str">
        <f>IF('DATI LOGICI'!C18&lt;&gt;"",'DATI LOGICI'!C18,"")</f>
        <v>F</v>
      </c>
      <c r="D20" s="68" t="str">
        <f>IF('DATI LOGICI'!D18&lt;&gt;"",'DATI LOGICI'!D18,"")</f>
        <v xml:space="preserve">uint16_t </v>
      </c>
      <c r="E20" s="68" t="str">
        <f>IF('DATI LOGICI'!E18&lt;&gt;"",'DATI LOGICI'!E18,"")</f>
        <v/>
      </c>
      <c r="F20" s="68" t="str">
        <f>IF('DATI LOGICI'!F18&lt;&gt;"",'DATI LOGICI'!F18,"")</f>
        <v/>
      </c>
      <c r="G20" s="68" t="str">
        <f>IF('DATI LOGICI'!G18&lt;&gt;"",'DATI LOGICI'!G18,"")</f>
        <v/>
      </c>
      <c r="H20" s="68" t="str">
        <f>IF('DATI LOGICI'!H18&lt;&gt;"",'DATI LOGICI'!H18,"")</f>
        <v/>
      </c>
      <c r="I20" s="68" t="str">
        <f>IF('DATI LOGICI'!I18&lt;&gt;"",'DATI LOGICI'!I18,"")</f>
        <v>R</v>
      </c>
      <c r="J20" s="68"/>
      <c r="K20" s="68"/>
      <c r="L20" s="68"/>
      <c r="M20" s="68"/>
      <c r="N20" s="68"/>
      <c r="O20" s="68"/>
      <c r="P20" s="68"/>
      <c r="Q20" s="68"/>
      <c r="R20" s="68"/>
      <c r="S20" s="68"/>
      <c r="T20" s="68"/>
      <c r="U20" s="68"/>
      <c r="V20" s="68"/>
      <c r="W20" s="68"/>
    </row>
    <row r="21" spans="1:23" s="69" customFormat="1" x14ac:dyDescent="0.25">
      <c r="A21" s="68" t="str">
        <f>IF('DATI LOGICI'!A19&lt;&gt;"",'DATI LOGICI'!A19,"")</f>
        <v>Salute batteria</v>
      </c>
      <c r="B21" s="68">
        <f>IF('DATI LOGICI'!B19&lt;&gt;"",'DATI LOGICI'!B19,"")</f>
        <v>0</v>
      </c>
      <c r="C21" s="68">
        <f>IF('DATI LOGICI'!C19&lt;&gt;"",'DATI LOGICI'!C19,"")</f>
        <v>10</v>
      </c>
      <c r="D21" s="68" t="str">
        <f>IF('DATI LOGICI'!D19&lt;&gt;"",'DATI LOGICI'!D19,"")</f>
        <v xml:space="preserve">uint16_t </v>
      </c>
      <c r="E21" s="68" t="str">
        <f>IF('DATI LOGICI'!E19&lt;&gt;"",'DATI LOGICI'!E19,"")</f>
        <v/>
      </c>
      <c r="F21" s="68" t="str">
        <f>IF('DATI LOGICI'!F19&lt;&gt;"",'DATI LOGICI'!F19,"")</f>
        <v/>
      </c>
      <c r="G21" s="68" t="str">
        <f>IF('DATI LOGICI'!G19&lt;&gt;"",'DATI LOGICI'!G19,"")</f>
        <v/>
      </c>
      <c r="H21" s="68" t="str">
        <f>IF('DATI LOGICI'!H19&lt;&gt;"",'DATI LOGICI'!H19,"")</f>
        <v/>
      </c>
      <c r="I21" s="68" t="str">
        <f>IF('DATI LOGICI'!I19&lt;&gt;"",'DATI LOGICI'!I19,"")</f>
        <v>R</v>
      </c>
      <c r="J21" s="68"/>
      <c r="K21" s="68"/>
      <c r="L21" s="68"/>
      <c r="M21" s="68"/>
      <c r="N21" s="68"/>
      <c r="O21" s="68"/>
      <c r="P21" s="68"/>
      <c r="Q21" s="68"/>
      <c r="R21" s="68"/>
      <c r="S21" s="68"/>
      <c r="T21" s="68"/>
      <c r="U21" s="68"/>
      <c r="V21" s="68"/>
      <c r="W21" s="68"/>
    </row>
    <row r="22" spans="1:23" s="69" customFormat="1" x14ac:dyDescent="0.25">
      <c r="A22" s="68" t="str">
        <f>IF('DATI LOGICI'!A20&lt;&gt;"",'DATI LOGICI'!A20,"")</f>
        <v>Cicli batteria</v>
      </c>
      <c r="B22" s="68">
        <f>IF('DATI LOGICI'!B20&lt;&gt;"",'DATI LOGICI'!B20,"")</f>
        <v>0</v>
      </c>
      <c r="C22" s="68">
        <f>IF('DATI LOGICI'!C20&lt;&gt;"",'DATI LOGICI'!C20,"")</f>
        <v>11</v>
      </c>
      <c r="D22" s="68" t="str">
        <f>IF('DATI LOGICI'!D20&lt;&gt;"",'DATI LOGICI'!D20,"")</f>
        <v xml:space="preserve">uint16_t </v>
      </c>
      <c r="E22" s="68" t="str">
        <f>IF('DATI LOGICI'!E20&lt;&gt;"",'DATI LOGICI'!E20,"")</f>
        <v/>
      </c>
      <c r="F22" s="68" t="str">
        <f>IF('DATI LOGICI'!F20&lt;&gt;"",'DATI LOGICI'!F20,"")</f>
        <v/>
      </c>
      <c r="G22" s="68" t="str">
        <f>IF('DATI LOGICI'!G20&lt;&gt;"",'DATI LOGICI'!G20,"")</f>
        <v/>
      </c>
      <c r="H22" s="68" t="str">
        <f>IF('DATI LOGICI'!H20&lt;&gt;"",'DATI LOGICI'!H20,"")</f>
        <v/>
      </c>
      <c r="I22" s="68" t="str">
        <f>IF('DATI LOGICI'!I20&lt;&gt;"",'DATI LOGICI'!I20,"")</f>
        <v>R</v>
      </c>
      <c r="J22" s="68"/>
      <c r="K22" s="68"/>
      <c r="L22" s="68"/>
      <c r="M22" s="68"/>
      <c r="N22" s="68"/>
      <c r="O22" s="68"/>
      <c r="P22" s="68"/>
      <c r="Q22" s="68"/>
      <c r="R22" s="68"/>
      <c r="S22" s="68"/>
      <c r="T22" s="68"/>
      <c r="U22" s="68"/>
      <c r="V22" s="68"/>
      <c r="W22" s="68"/>
    </row>
    <row r="23" spans="1:23" s="69" customFormat="1" x14ac:dyDescent="0.25">
      <c r="A23" s="68" t="str">
        <f>IF('DATI LOGICI'!A21&lt;&gt;"",'DATI LOGICI'!A21,"")</f>
        <v>Temperatura batteria</v>
      </c>
      <c r="B23" s="68">
        <f>IF('DATI LOGICI'!B21&lt;&gt;"",'DATI LOGICI'!B21,"")</f>
        <v>0</v>
      </c>
      <c r="C23" s="68">
        <f>IF('DATI LOGICI'!C21&lt;&gt;"",'DATI LOGICI'!C21,"")</f>
        <v>12</v>
      </c>
      <c r="D23" s="68" t="str">
        <f>IF('DATI LOGICI'!D21&lt;&gt;"",'DATI LOGICI'!D21,"")</f>
        <v>int16_t</v>
      </c>
      <c r="E23" s="68" t="str">
        <f>IF('DATI LOGICI'!E21&lt;&gt;"",'DATI LOGICI'!E21,"")</f>
        <v/>
      </c>
      <c r="F23" s="68" t="str">
        <f>IF('DATI LOGICI'!F21&lt;&gt;"",'DATI LOGICI'!F21,"")</f>
        <v/>
      </c>
      <c r="G23" s="68" t="str">
        <f>IF('DATI LOGICI'!G21&lt;&gt;"",'DATI LOGICI'!G21,"")</f>
        <v/>
      </c>
      <c r="H23" s="68" t="str">
        <f>IF('DATI LOGICI'!H21&lt;&gt;"",'DATI LOGICI'!H21,"")</f>
        <v/>
      </c>
      <c r="I23" s="68" t="str">
        <f>IF('DATI LOGICI'!I21&lt;&gt;"",'DATI LOGICI'!I21,"")</f>
        <v>R</v>
      </c>
      <c r="J23" s="68"/>
      <c r="K23" s="68"/>
      <c r="L23" s="68"/>
      <c r="M23" s="68"/>
      <c r="N23" s="68"/>
      <c r="O23" s="68"/>
      <c r="P23" s="68"/>
      <c r="Q23" s="68"/>
      <c r="R23" s="68"/>
      <c r="S23" s="68"/>
      <c r="T23" s="68"/>
      <c r="U23" s="68"/>
      <c r="V23" s="68"/>
      <c r="W23" s="68"/>
    </row>
    <row r="24" spans="1:23" s="69" customFormat="1" x14ac:dyDescent="0.25">
      <c r="A24" s="68" t="str">
        <f>IF('DATI LOGICI'!A22&lt;&gt;"",'DATI LOGICI'!A22,"")</f>
        <v>BatteryFirmware</v>
      </c>
      <c r="B24" s="68">
        <f>IF('DATI LOGICI'!B22&lt;&gt;"",'DATI LOGICI'!B22,"")</f>
        <v>0</v>
      </c>
      <c r="C24" s="68">
        <f>IF('DATI LOGICI'!C22&lt;&gt;"",'DATI LOGICI'!C22,"")</f>
        <v>13</v>
      </c>
      <c r="D24" s="68" t="str">
        <f>IF('DATI LOGICI'!D22&lt;&gt;"",'DATI LOGICI'!D22,"")</f>
        <v>uint32_t</v>
      </c>
      <c r="E24" s="68" t="str">
        <f>IF('DATI LOGICI'!E22&lt;&gt;"",'DATI LOGICI'!E22,"")</f>
        <v/>
      </c>
      <c r="F24" s="68" t="str">
        <f>IF('DATI LOGICI'!F22&lt;&gt;"",'DATI LOGICI'!F22,"")</f>
        <v/>
      </c>
      <c r="G24" s="68" t="str">
        <f>IF('DATI LOGICI'!G22&lt;&gt;"",'DATI LOGICI'!G22,"")</f>
        <v/>
      </c>
      <c r="H24" s="68" t="str">
        <f>IF('DATI LOGICI'!H22&lt;&gt;"",'DATI LOGICI'!H22,"")</f>
        <v/>
      </c>
      <c r="I24" s="68" t="str">
        <f>IF('DATI LOGICI'!I22&lt;&gt;"",'DATI LOGICI'!I22,"")</f>
        <v>R</v>
      </c>
      <c r="J24" s="68"/>
      <c r="K24" s="68"/>
      <c r="L24" s="68"/>
      <c r="M24" s="68"/>
      <c r="N24" s="68"/>
      <c r="O24" s="68"/>
      <c r="P24" s="68"/>
      <c r="Q24" s="68"/>
      <c r="R24" s="68"/>
      <c r="S24" s="68"/>
      <c r="T24" s="68"/>
      <c r="U24" s="68"/>
      <c r="V24" s="68"/>
      <c r="W24" s="68"/>
    </row>
    <row r="25" spans="1:23" s="69" customFormat="1" x14ac:dyDescent="0.25">
      <c r="A25" s="68" t="str">
        <f>IF('DATI LOGICI'!A23&lt;&gt;"",'DATI LOGICI'!A23,"")</f>
        <v>BatterySerial</v>
      </c>
      <c r="B25" s="68">
        <f>IF('DATI LOGICI'!B23&lt;&gt;"",'DATI LOGICI'!B23,"")</f>
        <v>0</v>
      </c>
      <c r="C25" s="68">
        <f>IF('DATI LOGICI'!C23&lt;&gt;"",'DATI LOGICI'!C23,"")</f>
        <v>14</v>
      </c>
      <c r="D25" s="68" t="str">
        <f>IF('DATI LOGICI'!D23&lt;&gt;"",'DATI LOGICI'!D23,"")</f>
        <v xml:space="preserve">uint32_t </v>
      </c>
      <c r="E25" s="68" t="str">
        <f>IF('DATI LOGICI'!E23&lt;&gt;"",'DATI LOGICI'!E23,"")</f>
        <v/>
      </c>
      <c r="F25" s="68" t="str">
        <f>IF('DATI LOGICI'!F23&lt;&gt;"",'DATI LOGICI'!F23,"")</f>
        <v/>
      </c>
      <c r="G25" s="68" t="str">
        <f>IF('DATI LOGICI'!G23&lt;&gt;"",'DATI LOGICI'!G23,"")</f>
        <v/>
      </c>
      <c r="H25" s="68" t="str">
        <f>IF('DATI LOGICI'!H23&lt;&gt;"",'DATI LOGICI'!H23,"")</f>
        <v/>
      </c>
      <c r="I25" s="68" t="str">
        <f>IF('DATI LOGICI'!I23&lt;&gt;"",'DATI LOGICI'!I23,"")</f>
        <v>R</v>
      </c>
      <c r="J25" s="68"/>
      <c r="K25" s="68"/>
      <c r="L25" s="68"/>
      <c r="M25" s="68"/>
      <c r="N25" s="68"/>
      <c r="O25" s="68"/>
      <c r="P25" s="68"/>
      <c r="Q25" s="68"/>
      <c r="R25" s="68"/>
      <c r="S25" s="68"/>
      <c r="T25" s="68"/>
      <c r="U25" s="68"/>
      <c r="V25" s="68"/>
      <c r="W25" s="68"/>
    </row>
    <row r="26" spans="1:23" s="69" customFormat="1" x14ac:dyDescent="0.25">
      <c r="A26" s="70" t="str">
        <f>IF('DATI LOGICI'!A24&lt;&gt;"",'DATI LOGICI'!A24,"")</f>
        <v>Stato ingressi fisici</v>
      </c>
      <c r="B26" s="68">
        <f>IF('DATI LOGICI'!B24&lt;&gt;"",'DATI LOGICI'!B24,"")</f>
        <v>0</v>
      </c>
      <c r="C26" s="68">
        <f>IF('DATI LOGICI'!C24&lt;&gt;"",'DATI LOGICI'!C24,"")</f>
        <v>15</v>
      </c>
      <c r="D26" s="68" t="str">
        <f>IF('DATI LOGICI'!D24&lt;&gt;"",'DATI LOGICI'!D24,"")</f>
        <v xml:space="preserve">uint32_t </v>
      </c>
      <c r="E26" s="68" t="str">
        <f>IF('DATI LOGICI'!E24&lt;&gt;"",'DATI LOGICI'!E24,"")</f>
        <v/>
      </c>
      <c r="F26" s="68" t="str">
        <f>IF('DATI LOGICI'!F24&lt;&gt;"",'DATI LOGICI'!F24,"")</f>
        <v/>
      </c>
      <c r="G26" s="68" t="str">
        <f>IF('DATI LOGICI'!G24&lt;&gt;"",'DATI LOGICI'!G24,"")</f>
        <v/>
      </c>
      <c r="H26" s="68" t="str">
        <f>IF('DATI LOGICI'!H24&lt;&gt;"",'DATI LOGICI'!H24,"")</f>
        <v/>
      </c>
      <c r="I26" s="68" t="str">
        <f>IF('DATI LOGICI'!I24&lt;&gt;"",'DATI LOGICI'!I24,"")</f>
        <v>R</v>
      </c>
      <c r="J26" s="68"/>
      <c r="K26" s="68"/>
      <c r="L26" s="68"/>
      <c r="M26" s="68"/>
      <c r="N26" s="68"/>
      <c r="O26" s="68"/>
      <c r="P26" s="68"/>
      <c r="Q26" s="68"/>
      <c r="R26" s="68"/>
      <c r="S26" s="68"/>
      <c r="T26" s="68"/>
      <c r="U26" s="68"/>
      <c r="V26" s="68"/>
      <c r="W26" s="68"/>
    </row>
    <row r="27" spans="1:23" s="69" customFormat="1" x14ac:dyDescent="0.25">
      <c r="A27" s="70" t="str">
        <f>IF('DATI LOGICI'!A25&lt;&gt;"",'DATI LOGICI'!A25,"")</f>
        <v>Stato uscite fisiche</v>
      </c>
      <c r="B27" s="68">
        <f>IF('DATI LOGICI'!B25&lt;&gt;"",'DATI LOGICI'!B25,"")</f>
        <v>0</v>
      </c>
      <c r="C27" s="68">
        <f>IF('DATI LOGICI'!C25&lt;&gt;"",'DATI LOGICI'!C25,"")</f>
        <v>16</v>
      </c>
      <c r="D27" s="68" t="str">
        <f>IF('DATI LOGICI'!D25&lt;&gt;"",'DATI LOGICI'!D25,"")</f>
        <v xml:space="preserve">uint32_t </v>
      </c>
      <c r="E27" s="68" t="str">
        <f>IF('DATI LOGICI'!E25&lt;&gt;"",'DATI LOGICI'!E25,"")</f>
        <v/>
      </c>
      <c r="F27" s="68" t="str">
        <f>IF('DATI LOGICI'!F25&lt;&gt;"",'DATI LOGICI'!F25,"")</f>
        <v/>
      </c>
      <c r="G27" s="68" t="str">
        <f>IF('DATI LOGICI'!G25&lt;&gt;"",'DATI LOGICI'!G25,"")</f>
        <v/>
      </c>
      <c r="H27" s="68" t="str">
        <f>IF('DATI LOGICI'!H25&lt;&gt;"",'DATI LOGICI'!H25,"")</f>
        <v/>
      </c>
      <c r="I27" s="68" t="str">
        <f>IF('DATI LOGICI'!I25&lt;&gt;"",'DATI LOGICI'!I25,"")</f>
        <v>R</v>
      </c>
      <c r="J27" s="68"/>
      <c r="K27" s="68"/>
      <c r="L27" s="68"/>
      <c r="M27" s="68"/>
      <c r="N27" s="68"/>
      <c r="O27" s="68"/>
      <c r="P27" s="68"/>
      <c r="Q27" s="68"/>
      <c r="R27" s="68"/>
      <c r="S27" s="68"/>
      <c r="T27" s="68"/>
      <c r="U27" s="68"/>
      <c r="V27" s="68"/>
      <c r="W27" s="68"/>
    </row>
    <row r="28" spans="1:23" s="69" customFormat="1" x14ac:dyDescent="0.25">
      <c r="A28" s="68" t="str">
        <f>IF('DATI LOGICI'!A26&lt;&gt;"",'DATI LOGICI'!A26,"")</f>
        <v>Firmware Bootloader</v>
      </c>
      <c r="B28" s="68">
        <f>IF('DATI LOGICI'!B26&lt;&gt;"",'DATI LOGICI'!B26,"")</f>
        <v>0</v>
      </c>
      <c r="C28" s="68">
        <f>IF('DATI LOGICI'!C26&lt;&gt;"",'DATI LOGICI'!C26,"")</f>
        <v>17</v>
      </c>
      <c r="D28" s="68" t="str">
        <f>IF('DATI LOGICI'!D26&lt;&gt;"",'DATI LOGICI'!D26,"")</f>
        <v xml:space="preserve">uint16_t </v>
      </c>
      <c r="E28" s="68" t="str">
        <f>IF('DATI LOGICI'!E26&lt;&gt;"",'DATI LOGICI'!E26,"")</f>
        <v>255.255</v>
      </c>
      <c r="F28" s="68">
        <f>IF('DATI LOGICI'!F26&lt;&gt;"",'DATI LOGICI'!F26,"")</f>
        <v>0</v>
      </c>
      <c r="G28" s="68" t="str">
        <f>IF('DATI LOGICI'!G26&lt;&gt;"",'DATI LOGICI'!G26,"")</f>
        <v>255.255</v>
      </c>
      <c r="H28" s="68" t="str">
        <f>IF('DATI LOGICI'!H26&lt;&gt;"",'DATI LOGICI'!H26,"")</f>
        <v/>
      </c>
      <c r="I28" s="68" t="str">
        <f>IF('DATI LOGICI'!I26&lt;&gt;"",'DATI LOGICI'!I26,"")</f>
        <v>R</v>
      </c>
      <c r="J28" s="68"/>
      <c r="K28" s="68"/>
      <c r="L28" s="68"/>
      <c r="M28" s="68"/>
      <c r="N28" s="68"/>
      <c r="O28" s="68"/>
      <c r="P28" s="68"/>
      <c r="Q28" s="68"/>
      <c r="R28" s="68"/>
      <c r="S28" s="68"/>
      <c r="T28" s="68"/>
      <c r="U28" s="68"/>
      <c r="V28" s="68"/>
      <c r="W28" s="68"/>
    </row>
    <row r="29" spans="1:23" s="69" customFormat="1" x14ac:dyDescent="0.25">
      <c r="A29" s="68" t="str">
        <f>IF('DATI LOGICI'!A27&lt;&gt;"",'DATI LOGICI'!A27,"")</f>
        <v/>
      </c>
      <c r="B29" s="68" t="str">
        <f>IF('DATI LOGICI'!B27&lt;&gt;"",'DATI LOGICI'!B27,"")</f>
        <v/>
      </c>
      <c r="C29" s="68" t="str">
        <f>IF('DATI LOGICI'!C27&lt;&gt;"",'DATI LOGICI'!C27,"")</f>
        <v/>
      </c>
      <c r="D29" s="68" t="str">
        <f>IF('DATI LOGICI'!D27&lt;&gt;"",'DATI LOGICI'!D27,"")</f>
        <v/>
      </c>
      <c r="E29" s="68" t="str">
        <f>IF('DATI LOGICI'!E27&lt;&gt;"",'DATI LOGICI'!E27,"")</f>
        <v/>
      </c>
      <c r="F29" s="68" t="str">
        <f>IF('DATI LOGICI'!F27&lt;&gt;"",'DATI LOGICI'!F27,"")</f>
        <v/>
      </c>
      <c r="G29" s="68" t="str">
        <f>IF('DATI LOGICI'!G27&lt;&gt;"",'DATI LOGICI'!G27,"")</f>
        <v/>
      </c>
      <c r="H29" s="68" t="str">
        <f>IF('DATI LOGICI'!H27&lt;&gt;"",'DATI LOGICI'!H27,"")</f>
        <v/>
      </c>
      <c r="I29" s="68" t="str">
        <f>IF('DATI LOGICI'!I27&lt;&gt;"",'DATI LOGICI'!I27,"")</f>
        <v/>
      </c>
      <c r="J29" s="68"/>
      <c r="K29" s="68"/>
      <c r="L29" s="68"/>
      <c r="M29" s="68"/>
      <c r="N29" s="68"/>
      <c r="O29" s="68"/>
      <c r="P29" s="68"/>
      <c r="Q29" s="68"/>
      <c r="R29" s="68"/>
      <c r="S29" s="68"/>
      <c r="T29" s="68"/>
      <c r="U29" s="68"/>
      <c r="V29" s="68"/>
      <c r="W29" s="68"/>
    </row>
    <row r="30" spans="1:23" s="69" customFormat="1" x14ac:dyDescent="0.25">
      <c r="A30" s="68" t="str">
        <f>IF('DATI LOGICI'!A28&lt;&gt;"",'DATI LOGICI'!A28,"")</f>
        <v/>
      </c>
      <c r="B30" s="68" t="str">
        <f>IF('DATI LOGICI'!B28&lt;&gt;"",'DATI LOGICI'!B28,"")</f>
        <v/>
      </c>
      <c r="C30" s="68" t="str">
        <f>IF('DATI LOGICI'!C28&lt;&gt;"",'DATI LOGICI'!C28,"")</f>
        <v/>
      </c>
      <c r="D30" s="68" t="str">
        <f>IF('DATI LOGICI'!D28&lt;&gt;"",'DATI LOGICI'!D28,"")</f>
        <v/>
      </c>
      <c r="E30" s="68" t="str">
        <f>IF('DATI LOGICI'!E28&lt;&gt;"",'DATI LOGICI'!E28,"")</f>
        <v/>
      </c>
      <c r="F30" s="68" t="str">
        <f>IF('DATI LOGICI'!F28&lt;&gt;"",'DATI LOGICI'!F28,"")</f>
        <v/>
      </c>
      <c r="G30" s="68" t="str">
        <f>IF('DATI LOGICI'!G28&lt;&gt;"",'DATI LOGICI'!G28,"")</f>
        <v/>
      </c>
      <c r="H30" s="68" t="str">
        <f>IF('DATI LOGICI'!H28&lt;&gt;"",'DATI LOGICI'!H28,"")</f>
        <v/>
      </c>
      <c r="I30" s="68" t="str">
        <f>IF('DATI LOGICI'!I28&lt;&gt;"",'DATI LOGICI'!I28,"")</f>
        <v/>
      </c>
      <c r="J30" s="68"/>
      <c r="K30" s="68"/>
      <c r="L30" s="68"/>
      <c r="M30" s="68"/>
      <c r="N30" s="68"/>
      <c r="O30" s="68"/>
      <c r="P30" s="68"/>
      <c r="Q30" s="68"/>
      <c r="R30" s="68"/>
      <c r="S30" s="68"/>
      <c r="T30" s="68"/>
      <c r="U30" s="68"/>
      <c r="V30" s="68"/>
      <c r="W30" s="68"/>
    </row>
    <row r="31" spans="1:23" s="69" customFormat="1" x14ac:dyDescent="0.25">
      <c r="A31" s="68" t="str">
        <f>IF('DATI LOGICI'!A29&lt;&gt;"",'DATI LOGICI'!A29,"")</f>
        <v/>
      </c>
      <c r="B31" s="68" t="str">
        <f>IF('DATI LOGICI'!B29&lt;&gt;"",'DATI LOGICI'!B29,"")</f>
        <v/>
      </c>
      <c r="C31" s="68" t="str">
        <f>IF('DATI LOGICI'!C29&lt;&gt;"",'DATI LOGICI'!C29,"")</f>
        <v/>
      </c>
      <c r="D31" s="68" t="str">
        <f>IF('DATI LOGICI'!D29&lt;&gt;"",'DATI LOGICI'!D29,"")</f>
        <v/>
      </c>
      <c r="E31" s="68" t="str">
        <f>IF('DATI LOGICI'!E29&lt;&gt;"",'DATI LOGICI'!E29,"")</f>
        <v/>
      </c>
      <c r="F31" s="68" t="str">
        <f>IF('DATI LOGICI'!F29&lt;&gt;"",'DATI LOGICI'!F29,"")</f>
        <v/>
      </c>
      <c r="G31" s="68" t="str">
        <f>IF('DATI LOGICI'!G29&lt;&gt;"",'DATI LOGICI'!G29,"")</f>
        <v/>
      </c>
      <c r="H31" s="68" t="str">
        <f>IF('DATI LOGICI'!H29&lt;&gt;"",'DATI LOGICI'!H29,"")</f>
        <v/>
      </c>
      <c r="I31" s="68" t="str">
        <f>IF('DATI LOGICI'!I29&lt;&gt;"",'DATI LOGICI'!I29,"")</f>
        <v/>
      </c>
      <c r="J31" s="68"/>
      <c r="K31" s="68"/>
      <c r="L31" s="68"/>
      <c r="M31" s="68"/>
      <c r="N31" s="68"/>
      <c r="O31" s="68"/>
      <c r="P31" s="68"/>
      <c r="Q31" s="68"/>
      <c r="R31" s="68"/>
      <c r="S31" s="68"/>
      <c r="T31" s="68"/>
      <c r="U31" s="68"/>
      <c r="V31" s="68"/>
      <c r="W31" s="68"/>
    </row>
    <row r="32" spans="1:23" s="69" customFormat="1" x14ac:dyDescent="0.25">
      <c r="A32" s="68" t="str">
        <f>IF('DATI LOGICI'!A30&lt;&gt;"",'DATI LOGICI'!A30,"")</f>
        <v/>
      </c>
      <c r="B32" s="68" t="str">
        <f>IF('DATI LOGICI'!B30&lt;&gt;"",'DATI LOGICI'!B30,"")</f>
        <v/>
      </c>
      <c r="C32" s="68" t="str">
        <f>IF('DATI LOGICI'!C30&lt;&gt;"",'DATI LOGICI'!C30,"")</f>
        <v/>
      </c>
      <c r="D32" s="68" t="str">
        <f>IF('DATI LOGICI'!D30&lt;&gt;"",'DATI LOGICI'!D30,"")</f>
        <v/>
      </c>
      <c r="E32" s="68" t="str">
        <f>IF('DATI LOGICI'!E30&lt;&gt;"",'DATI LOGICI'!E30,"")</f>
        <v/>
      </c>
      <c r="F32" s="68" t="str">
        <f>IF('DATI LOGICI'!F30&lt;&gt;"",'DATI LOGICI'!F30,"")</f>
        <v/>
      </c>
      <c r="G32" s="68" t="str">
        <f>IF('DATI LOGICI'!G30&lt;&gt;"",'DATI LOGICI'!G30,"")</f>
        <v/>
      </c>
      <c r="H32" s="68" t="str">
        <f>IF('DATI LOGICI'!H30&lt;&gt;"",'DATI LOGICI'!H30,"")</f>
        <v/>
      </c>
      <c r="I32" s="68" t="str">
        <f>IF('DATI LOGICI'!I30&lt;&gt;"",'DATI LOGICI'!I30,"")</f>
        <v/>
      </c>
      <c r="J32" s="68"/>
      <c r="K32" s="68"/>
      <c r="L32" s="68"/>
      <c r="M32" s="68"/>
      <c r="N32" s="68"/>
      <c r="O32" s="68"/>
      <c r="P32" s="68"/>
      <c r="Q32" s="68"/>
      <c r="R32" s="68"/>
      <c r="S32" s="68"/>
      <c r="T32" s="68"/>
      <c r="U32" s="68"/>
      <c r="V32" s="68"/>
      <c r="W32" s="68"/>
    </row>
    <row r="33" spans="1:23" s="69" customFormat="1" x14ac:dyDescent="0.25">
      <c r="A33" s="68" t="str">
        <f>IF('DATI LOGICI'!A31&lt;&gt;"",'DATI LOGICI'!A31,"")</f>
        <v/>
      </c>
      <c r="B33" s="68" t="str">
        <f>IF('DATI LOGICI'!B31&lt;&gt;"",'DATI LOGICI'!B31,"")</f>
        <v/>
      </c>
      <c r="C33" s="68" t="str">
        <f>IF('DATI LOGICI'!C31&lt;&gt;"",'DATI LOGICI'!C31,"")</f>
        <v/>
      </c>
      <c r="D33" s="68" t="str">
        <f>IF('DATI LOGICI'!D31&lt;&gt;"",'DATI LOGICI'!D31,"")</f>
        <v/>
      </c>
      <c r="E33" s="68" t="str">
        <f>IF('DATI LOGICI'!E31&lt;&gt;"",'DATI LOGICI'!E31,"")</f>
        <v/>
      </c>
      <c r="F33" s="68" t="str">
        <f>IF('DATI LOGICI'!F31&lt;&gt;"",'DATI LOGICI'!F31,"")</f>
        <v/>
      </c>
      <c r="G33" s="68" t="str">
        <f>IF('DATI LOGICI'!G31&lt;&gt;"",'DATI LOGICI'!G31,"")</f>
        <v/>
      </c>
      <c r="H33" s="68" t="str">
        <f>IF('DATI LOGICI'!H31&lt;&gt;"",'DATI LOGICI'!H31,"")</f>
        <v/>
      </c>
      <c r="I33" s="68" t="str">
        <f>IF('DATI LOGICI'!I31&lt;&gt;"",'DATI LOGICI'!I31,"")</f>
        <v/>
      </c>
      <c r="J33" s="68"/>
      <c r="K33" s="68"/>
      <c r="L33" s="68"/>
      <c r="M33" s="68"/>
      <c r="N33" s="68"/>
      <c r="O33" s="68"/>
      <c r="P33" s="68"/>
      <c r="Q33" s="68"/>
      <c r="R33" s="68"/>
      <c r="S33" s="68"/>
      <c r="T33" s="68"/>
      <c r="U33" s="68"/>
      <c r="V33" s="68"/>
      <c r="W33" s="68"/>
    </row>
    <row r="34" spans="1:23" s="69" customFormat="1" x14ac:dyDescent="0.25">
      <c r="A34" s="68" t="str">
        <f>IF('DATI LOGICI'!A32&lt;&gt;"",'DATI LOGICI'!A32,"")</f>
        <v/>
      </c>
      <c r="B34" s="68" t="str">
        <f>IF('DATI LOGICI'!B32&lt;&gt;"",'DATI LOGICI'!B32,"")</f>
        <v/>
      </c>
      <c r="C34" s="68" t="str">
        <f>IF('DATI LOGICI'!C32&lt;&gt;"",'DATI LOGICI'!C32,"")</f>
        <v/>
      </c>
      <c r="D34" s="68" t="str">
        <f>IF('DATI LOGICI'!D32&lt;&gt;"",'DATI LOGICI'!D32,"")</f>
        <v/>
      </c>
      <c r="E34" s="68" t="str">
        <f>IF('DATI LOGICI'!E32&lt;&gt;"",'DATI LOGICI'!E32,"")</f>
        <v/>
      </c>
      <c r="F34" s="68" t="str">
        <f>IF('DATI LOGICI'!F32&lt;&gt;"",'DATI LOGICI'!F32,"")</f>
        <v/>
      </c>
      <c r="G34" s="68" t="str">
        <f>IF('DATI LOGICI'!G32&lt;&gt;"",'DATI LOGICI'!G32,"")</f>
        <v/>
      </c>
      <c r="H34" s="68" t="str">
        <f>IF('DATI LOGICI'!H32&lt;&gt;"",'DATI LOGICI'!H32,"")</f>
        <v/>
      </c>
      <c r="I34" s="68" t="str">
        <f>IF('DATI LOGICI'!I32&lt;&gt;"",'DATI LOGICI'!I32,"")</f>
        <v/>
      </c>
      <c r="J34" s="68"/>
      <c r="K34" s="68"/>
      <c r="L34" s="68"/>
      <c r="M34" s="68"/>
      <c r="N34" s="68"/>
      <c r="O34" s="68"/>
      <c r="P34" s="68"/>
      <c r="Q34" s="68"/>
      <c r="R34" s="68"/>
      <c r="S34" s="68"/>
      <c r="T34" s="68"/>
      <c r="U34" s="68"/>
      <c r="V34" s="68"/>
      <c r="W34" s="68"/>
    </row>
    <row r="35" spans="1:23" s="69" customFormat="1" x14ac:dyDescent="0.25">
      <c r="A35" s="68" t="str">
        <f>IF('DATI LOGICI'!A33&lt;&gt;"",'DATI LOGICI'!A33,"")</f>
        <v/>
      </c>
      <c r="B35" s="68" t="str">
        <f>IF('DATI LOGICI'!B33&lt;&gt;"",'DATI LOGICI'!B33,"")</f>
        <v/>
      </c>
      <c r="C35" s="68" t="str">
        <f>IF('DATI LOGICI'!C33&lt;&gt;"",'DATI LOGICI'!C33,"")</f>
        <v/>
      </c>
      <c r="D35" s="68" t="str">
        <f>IF('DATI LOGICI'!D33&lt;&gt;"",'DATI LOGICI'!D33,"")</f>
        <v/>
      </c>
      <c r="E35" s="68" t="str">
        <f>IF('DATI LOGICI'!E33&lt;&gt;"",'DATI LOGICI'!E33,"")</f>
        <v/>
      </c>
      <c r="F35" s="68" t="str">
        <f>IF('DATI LOGICI'!F33&lt;&gt;"",'DATI LOGICI'!F33,"")</f>
        <v/>
      </c>
      <c r="G35" s="68" t="str">
        <f>IF('DATI LOGICI'!G33&lt;&gt;"",'DATI LOGICI'!G33,"")</f>
        <v/>
      </c>
      <c r="H35" s="68" t="str">
        <f>IF('DATI LOGICI'!H33&lt;&gt;"",'DATI LOGICI'!H33,"")</f>
        <v/>
      </c>
      <c r="I35" s="68" t="str">
        <f>IF('DATI LOGICI'!I33&lt;&gt;"",'DATI LOGICI'!I33,"")</f>
        <v/>
      </c>
      <c r="J35" s="68"/>
      <c r="K35" s="68"/>
      <c r="L35" s="68"/>
      <c r="M35" s="68"/>
      <c r="N35" s="68"/>
      <c r="O35" s="68"/>
      <c r="P35" s="68"/>
      <c r="Q35" s="68"/>
      <c r="R35" s="68"/>
      <c r="S35" s="68"/>
      <c r="T35" s="68"/>
      <c r="U35" s="68"/>
      <c r="V35" s="68"/>
      <c r="W35" s="68"/>
    </row>
    <row r="36" spans="1:23" s="69" customFormat="1" x14ac:dyDescent="0.25">
      <c r="A36" s="68" t="str">
        <f>IF('DATI LOGICI'!A34&lt;&gt;"",'DATI LOGICI'!A34,"")</f>
        <v/>
      </c>
      <c r="B36" s="68" t="str">
        <f>IF('DATI LOGICI'!B34&lt;&gt;"",'DATI LOGICI'!B34,"")</f>
        <v/>
      </c>
      <c r="C36" s="68" t="str">
        <f>IF('DATI LOGICI'!C34&lt;&gt;"",'DATI LOGICI'!C34,"")</f>
        <v/>
      </c>
      <c r="D36" s="68" t="str">
        <f>IF('DATI LOGICI'!D34&lt;&gt;"",'DATI LOGICI'!D34,"")</f>
        <v/>
      </c>
      <c r="E36" s="68" t="str">
        <f>IF('DATI LOGICI'!E34&lt;&gt;"",'DATI LOGICI'!E34,"")</f>
        <v/>
      </c>
      <c r="F36" s="68" t="str">
        <f>IF('DATI LOGICI'!F34&lt;&gt;"",'DATI LOGICI'!F34,"")</f>
        <v/>
      </c>
      <c r="G36" s="68" t="str">
        <f>IF('DATI LOGICI'!G34&lt;&gt;"",'DATI LOGICI'!G34,"")</f>
        <v/>
      </c>
      <c r="H36" s="68" t="str">
        <f>IF('DATI LOGICI'!H34&lt;&gt;"",'DATI LOGICI'!H34,"")</f>
        <v/>
      </c>
      <c r="I36" s="68" t="str">
        <f>IF('DATI LOGICI'!I34&lt;&gt;"",'DATI LOGICI'!I34,"")</f>
        <v/>
      </c>
      <c r="J36" s="68"/>
      <c r="K36" s="68"/>
      <c r="L36" s="68"/>
      <c r="M36" s="68"/>
      <c r="N36" s="68"/>
      <c r="O36" s="68"/>
      <c r="P36" s="68"/>
      <c r="Q36" s="68"/>
      <c r="R36" s="68"/>
      <c r="S36" s="68"/>
      <c r="T36" s="68"/>
      <c r="U36" s="68"/>
      <c r="V36" s="68"/>
      <c r="W36" s="68"/>
    </row>
    <row r="37" spans="1:23" s="69" customFormat="1" x14ac:dyDescent="0.25">
      <c r="A37" s="68" t="str">
        <f>IF('DATI LOGICI'!A35&lt;&gt;"",'DATI LOGICI'!A35,"")</f>
        <v/>
      </c>
      <c r="B37" s="68" t="str">
        <f>IF('DATI LOGICI'!B35&lt;&gt;"",'DATI LOGICI'!B35,"")</f>
        <v/>
      </c>
      <c r="C37" s="68" t="str">
        <f>IF('DATI LOGICI'!C35&lt;&gt;"",'DATI LOGICI'!C35,"")</f>
        <v/>
      </c>
      <c r="D37" s="68" t="str">
        <f>IF('DATI LOGICI'!D35&lt;&gt;"",'DATI LOGICI'!D35,"")</f>
        <v/>
      </c>
      <c r="E37" s="68" t="str">
        <f>IF('DATI LOGICI'!E35&lt;&gt;"",'DATI LOGICI'!E35,"")</f>
        <v/>
      </c>
      <c r="F37" s="68" t="str">
        <f>IF('DATI LOGICI'!F35&lt;&gt;"",'DATI LOGICI'!F35,"")</f>
        <v/>
      </c>
      <c r="G37" s="68" t="str">
        <f>IF('DATI LOGICI'!G35&lt;&gt;"",'DATI LOGICI'!G35,"")</f>
        <v/>
      </c>
      <c r="H37" s="68" t="str">
        <f>IF('DATI LOGICI'!H35&lt;&gt;"",'DATI LOGICI'!H35,"")</f>
        <v/>
      </c>
      <c r="I37" s="68" t="str">
        <f>IF('DATI LOGICI'!I35&lt;&gt;"",'DATI LOGICI'!I35,"")</f>
        <v/>
      </c>
      <c r="J37" s="68"/>
      <c r="K37" s="68"/>
      <c r="L37" s="68"/>
      <c r="M37" s="68"/>
      <c r="N37" s="68"/>
      <c r="O37" s="68"/>
      <c r="P37" s="68"/>
      <c r="Q37" s="68"/>
      <c r="R37" s="68"/>
      <c r="S37" s="68"/>
      <c r="T37" s="68"/>
      <c r="U37" s="68"/>
      <c r="V37" s="68"/>
      <c r="W37" s="68"/>
    </row>
    <row r="38" spans="1:23" s="69" customFormat="1" x14ac:dyDescent="0.25">
      <c r="A38" s="68" t="str">
        <f>IF('DATI LOGICI'!A36&lt;&gt;"",'DATI LOGICI'!A36,"")</f>
        <v/>
      </c>
      <c r="B38" s="68" t="str">
        <f>IF('DATI LOGICI'!B36&lt;&gt;"",'DATI LOGICI'!B36,"")</f>
        <v/>
      </c>
      <c r="C38" s="68" t="str">
        <f>IF('DATI LOGICI'!C36&lt;&gt;"",'DATI LOGICI'!C36,"")</f>
        <v/>
      </c>
      <c r="D38" s="68" t="str">
        <f>IF('DATI LOGICI'!D36&lt;&gt;"",'DATI LOGICI'!D36,"")</f>
        <v/>
      </c>
      <c r="E38" s="68" t="str">
        <f>IF('DATI LOGICI'!E36&lt;&gt;"",'DATI LOGICI'!E36,"")</f>
        <v/>
      </c>
      <c r="F38" s="68" t="str">
        <f>IF('DATI LOGICI'!F36&lt;&gt;"",'DATI LOGICI'!F36,"")</f>
        <v/>
      </c>
      <c r="G38" s="68" t="str">
        <f>IF('DATI LOGICI'!G36&lt;&gt;"",'DATI LOGICI'!G36,"")</f>
        <v/>
      </c>
      <c r="H38" s="68" t="str">
        <f>IF('DATI LOGICI'!H36&lt;&gt;"",'DATI LOGICI'!H36,"")</f>
        <v/>
      </c>
      <c r="I38" s="68" t="str">
        <f>IF('DATI LOGICI'!I36&lt;&gt;"",'DATI LOGICI'!I36,"")</f>
        <v/>
      </c>
      <c r="J38" s="68"/>
      <c r="K38" s="68"/>
      <c r="L38" s="68"/>
      <c r="M38" s="68"/>
      <c r="N38" s="68"/>
      <c r="O38" s="68"/>
      <c r="P38" s="68"/>
      <c r="Q38" s="68"/>
      <c r="R38" s="68"/>
      <c r="S38" s="68"/>
      <c r="T38" s="68"/>
      <c r="U38" s="68"/>
      <c r="V38" s="68"/>
      <c r="W38" s="68"/>
    </row>
    <row r="39" spans="1:23" s="69" customFormat="1" x14ac:dyDescent="0.25">
      <c r="A39" s="68"/>
      <c r="B39" s="68"/>
      <c r="C39" s="68"/>
      <c r="D39" s="68"/>
      <c r="E39" s="68"/>
      <c r="F39" s="68"/>
      <c r="G39" s="68"/>
      <c r="H39" s="68"/>
      <c r="I39" s="68"/>
      <c r="J39" s="68"/>
      <c r="K39" s="68"/>
      <c r="L39" s="68"/>
      <c r="M39" s="68"/>
      <c r="N39" s="68"/>
      <c r="O39" s="68"/>
      <c r="P39" s="68"/>
      <c r="Q39" s="68"/>
      <c r="R39" s="68"/>
      <c r="S39" s="68"/>
      <c r="T39" s="68"/>
      <c r="U39" s="68"/>
      <c r="V39" s="68"/>
      <c r="W39" s="68"/>
    </row>
    <row r="40" spans="1:23" s="69" customFormat="1" x14ac:dyDescent="0.25">
      <c r="A40" s="68"/>
      <c r="B40" s="68"/>
      <c r="C40" s="68"/>
      <c r="D40" s="68"/>
      <c r="E40" s="68"/>
      <c r="F40" s="68"/>
      <c r="G40" s="68"/>
      <c r="H40" s="68"/>
      <c r="I40" s="68"/>
      <c r="J40" s="68"/>
      <c r="K40" s="68"/>
      <c r="L40" s="68"/>
      <c r="M40" s="68"/>
      <c r="N40" s="68"/>
      <c r="O40" s="68"/>
      <c r="P40" s="68"/>
      <c r="Q40" s="68"/>
      <c r="R40" s="68"/>
      <c r="S40" s="68"/>
      <c r="T40" s="68"/>
      <c r="U40" s="68"/>
      <c r="V40" s="68"/>
      <c r="W40" s="68"/>
    </row>
    <row r="41" spans="1:23" s="69" customFormat="1" x14ac:dyDescent="0.25">
      <c r="A41" s="68"/>
      <c r="B41" s="68"/>
      <c r="C41" s="68"/>
      <c r="D41" s="68"/>
      <c r="E41" s="68"/>
      <c r="F41" s="68"/>
      <c r="G41" s="68"/>
      <c r="H41" s="68"/>
      <c r="I41" s="68"/>
      <c r="J41" s="68"/>
      <c r="K41" s="68"/>
      <c r="L41" s="68"/>
      <c r="M41" s="68"/>
      <c r="N41" s="68"/>
      <c r="O41" s="68"/>
      <c r="P41" s="68"/>
      <c r="Q41" s="68"/>
      <c r="R41" s="68"/>
      <c r="S41" s="68"/>
      <c r="T41" s="68"/>
      <c r="U41" s="68"/>
      <c r="V41" s="68"/>
      <c r="W41" s="68"/>
    </row>
    <row r="42" spans="1:23" x14ac:dyDescent="0.25">
      <c r="A42" s="57" t="s">
        <v>514</v>
      </c>
      <c r="B42" s="57"/>
      <c r="C42" s="57"/>
      <c r="D42" s="57"/>
      <c r="E42" s="57"/>
      <c r="F42" s="57"/>
      <c r="G42" s="57"/>
      <c r="H42" s="57"/>
      <c r="I42" s="57"/>
      <c r="J42" s="39"/>
      <c r="K42" s="110"/>
      <c r="L42" s="111"/>
      <c r="M42" s="111"/>
      <c r="N42" s="111"/>
      <c r="O42" s="111"/>
      <c r="P42" s="111"/>
      <c r="Q42" s="111"/>
      <c r="R42" s="111"/>
      <c r="S42" s="111"/>
      <c r="T42" s="111"/>
      <c r="U42" s="111"/>
      <c r="V42" s="111"/>
      <c r="W42" s="111"/>
    </row>
    <row r="43" spans="1:23" x14ac:dyDescent="0.25">
      <c r="A43" s="15" t="s">
        <v>440</v>
      </c>
      <c r="B43" s="3">
        <v>80</v>
      </c>
      <c r="C43" s="3">
        <v>0</v>
      </c>
      <c r="D43" s="3" t="s">
        <v>137</v>
      </c>
      <c r="E43" s="3"/>
      <c r="F43" s="3"/>
      <c r="G43" s="3"/>
      <c r="H43" s="3"/>
      <c r="I43" s="3" t="s">
        <v>93</v>
      </c>
      <c r="J43" s="3" t="s">
        <v>480</v>
      </c>
      <c r="K43" s="3"/>
    </row>
    <row r="44" spans="1:23" x14ac:dyDescent="0.25">
      <c r="A44" s="15" t="s">
        <v>441</v>
      </c>
      <c r="B44" s="3">
        <v>80</v>
      </c>
      <c r="C44" s="3">
        <v>1</v>
      </c>
      <c r="D44" s="3" t="s">
        <v>137</v>
      </c>
      <c r="E44" s="3"/>
      <c r="F44" s="3"/>
      <c r="G44" s="3"/>
      <c r="H44" s="3"/>
      <c r="I44" s="3" t="s">
        <v>93</v>
      </c>
      <c r="J44" s="3" t="s">
        <v>480</v>
      </c>
      <c r="K44" s="3"/>
      <c r="L44" s="3"/>
      <c r="M44" s="3"/>
      <c r="N44" s="3"/>
      <c r="O44" s="3"/>
    </row>
    <row r="45" spans="1:23" x14ac:dyDescent="0.25">
      <c r="A45" s="15" t="s">
        <v>442</v>
      </c>
      <c r="B45" s="3">
        <v>80</v>
      </c>
      <c r="C45" s="3">
        <v>2</v>
      </c>
      <c r="D45" s="3" t="s">
        <v>137</v>
      </c>
      <c r="E45" s="3"/>
      <c r="F45" s="3"/>
      <c r="G45" s="3"/>
      <c r="H45" s="3"/>
      <c r="I45" s="3" t="s">
        <v>93</v>
      </c>
      <c r="J45" s="3" t="s">
        <v>480</v>
      </c>
      <c r="K45" s="3"/>
    </row>
    <row r="46" spans="1:23" x14ac:dyDescent="0.25">
      <c r="A46" s="15" t="s">
        <v>443</v>
      </c>
      <c r="B46" s="3">
        <v>80</v>
      </c>
      <c r="C46" s="3">
        <v>3</v>
      </c>
      <c r="D46" s="3" t="s">
        <v>137</v>
      </c>
      <c r="E46" s="3"/>
      <c r="F46" s="3"/>
      <c r="G46" s="3"/>
      <c r="H46" s="3"/>
      <c r="I46" s="3" t="s">
        <v>93</v>
      </c>
      <c r="J46" s="3"/>
      <c r="K46" s="3"/>
    </row>
    <row r="47" spans="1:23" x14ac:dyDescent="0.25">
      <c r="A47" s="15" t="s">
        <v>444</v>
      </c>
      <c r="B47" s="3">
        <v>80</v>
      </c>
      <c r="C47" s="3">
        <v>4</v>
      </c>
      <c r="D47" s="3" t="s">
        <v>137</v>
      </c>
      <c r="I47" s="3" t="s">
        <v>87</v>
      </c>
      <c r="J47" s="3"/>
      <c r="K47" s="3"/>
    </row>
    <row r="48" spans="1:23" x14ac:dyDescent="0.25">
      <c r="A48" s="37" t="s">
        <v>445</v>
      </c>
      <c r="B48" s="3">
        <v>80</v>
      </c>
      <c r="C48" s="3">
        <v>5</v>
      </c>
      <c r="D48" s="3" t="s">
        <v>447</v>
      </c>
      <c r="I48" s="3" t="s">
        <v>87</v>
      </c>
      <c r="J48" s="3"/>
    </row>
    <row r="49" spans="1:10" x14ac:dyDescent="0.25">
      <c r="A49" s="37" t="s">
        <v>446</v>
      </c>
      <c r="B49" s="3">
        <v>80</v>
      </c>
      <c r="C49" s="3">
        <v>6</v>
      </c>
      <c r="D49" s="3" t="s">
        <v>447</v>
      </c>
      <c r="I49" s="3" t="s">
        <v>93</v>
      </c>
      <c r="J49" s="3"/>
    </row>
    <row r="50" spans="1:10" x14ac:dyDescent="0.25">
      <c r="A50" s="3" t="s">
        <v>515</v>
      </c>
      <c r="B50" s="3">
        <v>80</v>
      </c>
      <c r="C50" s="3">
        <v>7</v>
      </c>
      <c r="D50" s="3" t="s">
        <v>447</v>
      </c>
      <c r="I50" s="3" t="s">
        <v>93</v>
      </c>
    </row>
    <row r="51" spans="1:10" x14ac:dyDescent="0.25">
      <c r="A51" s="3" t="s">
        <v>516</v>
      </c>
      <c r="B51" s="3">
        <v>80</v>
      </c>
      <c r="C51" s="3">
        <v>8</v>
      </c>
      <c r="D51" s="3" t="s">
        <v>447</v>
      </c>
      <c r="I51" s="3" t="s">
        <v>93</v>
      </c>
    </row>
  </sheetData>
  <mergeCells count="3">
    <mergeCell ref="K4:T4"/>
    <mergeCell ref="K42:W42"/>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BB18-8010-4F67-B6F9-2731CD091688}">
  <dimension ref="A1:AMK74"/>
  <sheetViews>
    <sheetView zoomScaleNormal="100" workbookViewId="0">
      <pane xSplit="1" ySplit="4" topLeftCell="B37" activePane="bottomRight" state="frozen"/>
      <selection pane="topRight" activeCell="B1" sqref="B1"/>
      <selection pane="bottomLeft" activeCell="A3" sqref="A3"/>
      <selection pane="bottomRight" activeCell="A41" sqref="A41:XFD41"/>
    </sheetView>
  </sheetViews>
  <sheetFormatPr defaultColWidth="8.5703125" defaultRowHeight="15" x14ac:dyDescent="0.25"/>
  <cols>
    <col min="1" max="1" width="39.42578125" bestFit="1" customWidth="1"/>
    <col min="2" max="2" width="12.7109375" customWidth="1"/>
    <col min="3" max="3" width="9.5703125" customWidth="1"/>
    <col min="4" max="4" width="31.42578125" bestFit="1" customWidth="1"/>
    <col min="5" max="7" width="14.7109375" customWidth="1"/>
    <col min="8" max="8" width="18.7109375" customWidth="1"/>
    <col min="9" max="9" width="6.7109375" customWidth="1"/>
    <col min="10" max="10" width="10.7109375" style="1" customWidth="1"/>
    <col min="11" max="11" width="100.7109375" customWidth="1"/>
  </cols>
  <sheetData>
    <row r="1" spans="1:20" s="1" customFormat="1" x14ac:dyDescent="0.25">
      <c r="A1" s="104" t="s">
        <v>765</v>
      </c>
      <c r="B1" s="104"/>
      <c r="C1" s="104"/>
      <c r="D1" s="104"/>
      <c r="E1" s="104"/>
      <c r="F1" s="104"/>
      <c r="G1" s="104"/>
      <c r="H1" s="104"/>
      <c r="I1" s="104"/>
      <c r="J1" s="104"/>
      <c r="K1" s="3"/>
    </row>
    <row r="2" spans="1:20" s="1" customFormat="1" x14ac:dyDescent="0.25">
      <c r="A2" s="3" t="s">
        <v>878</v>
      </c>
      <c r="K2" s="3"/>
    </row>
    <row r="3" spans="1:20" x14ac:dyDescent="0.25">
      <c r="A3" s="10" t="s">
        <v>306</v>
      </c>
      <c r="B3" s="99" t="s">
        <v>486</v>
      </c>
      <c r="C3" s="100"/>
      <c r="D3" s="2" t="s">
        <v>82</v>
      </c>
      <c r="E3" s="11" t="s">
        <v>83</v>
      </c>
      <c r="F3" s="12" t="s">
        <v>84</v>
      </c>
      <c r="G3" s="12" t="s">
        <v>85</v>
      </c>
      <c r="H3" s="13" t="s">
        <v>86</v>
      </c>
      <c r="I3" s="14" t="s">
        <v>87</v>
      </c>
      <c r="J3" s="14" t="s">
        <v>477</v>
      </c>
      <c r="K3" s="3" t="s">
        <v>134</v>
      </c>
      <c r="L3" s="1"/>
      <c r="M3" s="1"/>
      <c r="N3" s="1"/>
      <c r="O3" s="1"/>
      <c r="P3" s="1"/>
      <c r="Q3" s="1"/>
      <c r="R3" s="1"/>
      <c r="S3" s="1"/>
      <c r="T3" s="1"/>
    </row>
    <row r="4" spans="1:20" x14ac:dyDescent="0.25">
      <c r="A4" s="110" t="s">
        <v>88</v>
      </c>
      <c r="B4" s="111"/>
      <c r="C4" s="111"/>
      <c r="D4" s="111"/>
      <c r="E4" s="111"/>
      <c r="F4" s="111"/>
      <c r="G4" s="111"/>
      <c r="H4" s="111"/>
      <c r="I4" s="111"/>
      <c r="J4" s="113"/>
      <c r="K4" s="101"/>
      <c r="L4" s="102"/>
      <c r="M4" s="102"/>
      <c r="N4" s="102"/>
      <c r="O4" s="102"/>
      <c r="P4" s="102"/>
      <c r="Q4" s="102"/>
      <c r="R4" s="102"/>
      <c r="S4" s="102"/>
      <c r="T4" s="103"/>
    </row>
    <row r="5" spans="1:20"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row>
    <row r="6" spans="1:20"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row>
    <row r="7" spans="1:20"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row>
    <row r="10" spans="1:20" ht="180"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88" t="s">
        <v>1011</v>
      </c>
    </row>
    <row r="11" spans="1:20"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row>
    <row r="12" spans="1:20"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8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4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4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3"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11" x14ac:dyDescent="0.25">
      <c r="A17" s="43"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11" x14ac:dyDescent="0.25">
      <c r="A18" s="43"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11" x14ac:dyDescent="0.25">
      <c r="A19" s="43"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11" x14ac:dyDescent="0.25">
      <c r="A20" s="45"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4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4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4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4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4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ht="6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K26" s="88" t="s">
        <v>1013</v>
      </c>
    </row>
    <row r="27" spans="1:11"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K27" s="46" t="s">
        <v>1012</v>
      </c>
    </row>
    <row r="28" spans="1:11" x14ac:dyDescent="0.25">
      <c r="A28" s="84"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c r="B32" s="3"/>
      <c r="C32" s="3"/>
      <c r="D32" s="3"/>
      <c r="E32" s="3"/>
      <c r="F32" s="3"/>
      <c r="G32" s="3"/>
      <c r="H32" s="3"/>
      <c r="I32" s="3"/>
    </row>
    <row r="33" spans="1:20" x14ac:dyDescent="0.25">
      <c r="A33" s="3"/>
      <c r="B33" s="3"/>
      <c r="C33" s="3"/>
      <c r="D33" s="3"/>
      <c r="E33" s="3"/>
      <c r="F33" s="3"/>
      <c r="G33" s="3"/>
      <c r="H33" s="3"/>
      <c r="I33" s="3"/>
    </row>
    <row r="34" spans="1:20" x14ac:dyDescent="0.25">
      <c r="A34" s="3"/>
      <c r="B34" s="3"/>
      <c r="C34" s="3"/>
      <c r="D34" s="3"/>
      <c r="E34" s="3"/>
      <c r="F34" s="3"/>
      <c r="G34" s="3"/>
      <c r="H34" s="3"/>
      <c r="I34" s="3"/>
    </row>
    <row r="35" spans="1:20" x14ac:dyDescent="0.25">
      <c r="A35" s="3"/>
      <c r="B35" s="3"/>
      <c r="C35" s="3"/>
      <c r="D35" s="3"/>
      <c r="E35" s="3"/>
      <c r="F35" s="3"/>
      <c r="G35" s="3"/>
      <c r="H35" s="3"/>
      <c r="I35" s="3"/>
    </row>
    <row r="36" spans="1:20" x14ac:dyDescent="0.25">
      <c r="A36" s="3"/>
      <c r="B36" s="3"/>
      <c r="C36" s="3"/>
      <c r="D36" s="3"/>
      <c r="E36" s="3"/>
      <c r="F36" s="3"/>
      <c r="G36" s="3"/>
      <c r="H36" s="3"/>
      <c r="I36" s="3"/>
    </row>
    <row r="37" spans="1:20" x14ac:dyDescent="0.25">
      <c r="A37" s="3"/>
      <c r="B37" s="3"/>
      <c r="C37" s="3"/>
      <c r="D37" s="3"/>
      <c r="E37" s="3"/>
      <c r="F37" s="3"/>
      <c r="G37" s="3"/>
      <c r="H37" s="3"/>
      <c r="I37" s="3"/>
    </row>
    <row r="38" spans="1:20" x14ac:dyDescent="0.25">
      <c r="A38" s="101" t="s">
        <v>485</v>
      </c>
      <c r="B38" s="102"/>
      <c r="C38" s="102"/>
      <c r="D38" s="102"/>
      <c r="E38" s="102"/>
      <c r="F38" s="102"/>
      <c r="G38" s="102"/>
      <c r="H38" s="102"/>
      <c r="I38" s="102"/>
      <c r="J38" s="103"/>
      <c r="K38" s="101"/>
      <c r="L38" s="102"/>
      <c r="M38" s="102"/>
      <c r="N38" s="102"/>
      <c r="O38" s="102"/>
      <c r="P38" s="102"/>
      <c r="Q38" s="102"/>
      <c r="R38" s="102"/>
      <c r="S38" s="102"/>
      <c r="T38" s="103"/>
    </row>
    <row r="39" spans="1:20" x14ac:dyDescent="0.25">
      <c r="A39" s="3"/>
      <c r="B39" s="3"/>
      <c r="C39" s="3"/>
      <c r="D39" s="3"/>
      <c r="E39" s="3"/>
      <c r="F39" s="3"/>
      <c r="G39" s="3"/>
      <c r="H39" s="3"/>
      <c r="I39" s="3"/>
    </row>
    <row r="40" spans="1:20" s="1" customFormat="1" ht="30" x14ac:dyDescent="0.25">
      <c r="A40" s="15" t="s">
        <v>838</v>
      </c>
      <c r="B40" s="3">
        <v>80</v>
      </c>
      <c r="C40" s="73" t="str">
        <f>DEC2HEX(0)</f>
        <v>0</v>
      </c>
      <c r="D40" s="3" t="s">
        <v>137</v>
      </c>
      <c r="E40" s="3"/>
      <c r="F40" s="3"/>
      <c r="G40" s="3"/>
      <c r="H40" s="3"/>
      <c r="I40" s="3" t="s">
        <v>103</v>
      </c>
      <c r="J40" s="3"/>
      <c r="K40" s="8" t="s">
        <v>579</v>
      </c>
      <c r="L40" s="3"/>
      <c r="M40" s="3"/>
      <c r="N40" s="3"/>
      <c r="O40" s="3"/>
      <c r="P40" s="3"/>
      <c r="Q40" s="3"/>
      <c r="R40" s="3"/>
      <c r="S40" s="3"/>
      <c r="T40" s="3"/>
    </row>
    <row r="41" spans="1:20" x14ac:dyDescent="0.25">
      <c r="A41" s="15" t="s">
        <v>312</v>
      </c>
      <c r="B41" s="3">
        <v>80</v>
      </c>
      <c r="C41" s="3">
        <v>1</v>
      </c>
      <c r="D41" s="3" t="s">
        <v>140</v>
      </c>
      <c r="E41" s="3"/>
      <c r="F41" s="3">
        <v>0</v>
      </c>
      <c r="G41" s="3">
        <v>1</v>
      </c>
      <c r="H41" s="3"/>
      <c r="I41" s="3" t="s">
        <v>100</v>
      </c>
      <c r="K41" s="3" t="s">
        <v>313</v>
      </c>
      <c r="L41" s="1"/>
      <c r="M41" s="1"/>
      <c r="N41" s="1"/>
      <c r="O41" s="1"/>
      <c r="P41" s="1"/>
      <c r="Q41" s="1"/>
      <c r="R41" s="1"/>
      <c r="S41" s="1"/>
      <c r="T41" s="1"/>
    </row>
    <row r="42" spans="1:20" x14ac:dyDescent="0.25">
      <c r="A42" s="15" t="s">
        <v>314</v>
      </c>
      <c r="B42" s="3">
        <v>80</v>
      </c>
      <c r="C42" s="3">
        <v>2</v>
      </c>
      <c r="D42" s="3" t="s">
        <v>128</v>
      </c>
      <c r="E42" s="3"/>
      <c r="F42" s="3">
        <v>-32767</v>
      </c>
      <c r="G42" s="3">
        <v>32767</v>
      </c>
      <c r="H42" s="3" t="s">
        <v>315</v>
      </c>
      <c r="I42" s="3" t="s">
        <v>93</v>
      </c>
      <c r="K42" s="3" t="s">
        <v>316</v>
      </c>
      <c r="L42" s="1"/>
      <c r="M42" s="1"/>
      <c r="N42" s="1"/>
      <c r="O42" s="1"/>
      <c r="P42" s="1"/>
      <c r="Q42" s="1"/>
      <c r="R42" s="1"/>
      <c r="S42" s="1"/>
      <c r="T42" s="1"/>
    </row>
    <row r="43" spans="1:20" x14ac:dyDescent="0.25">
      <c r="A43" s="15" t="s">
        <v>150</v>
      </c>
      <c r="B43" s="3">
        <f>B72</f>
        <v>0</v>
      </c>
      <c r="C43" s="3">
        <f t="shared" ref="C43:C44" si="0">C42+1</f>
        <v>3</v>
      </c>
      <c r="D43" s="3" t="s">
        <v>147</v>
      </c>
      <c r="E43" s="3"/>
      <c r="F43" s="3">
        <v>-32767</v>
      </c>
      <c r="G43" s="3">
        <v>32767</v>
      </c>
      <c r="H43" s="3"/>
      <c r="I43" s="3" t="s">
        <v>100</v>
      </c>
      <c r="K43" s="3"/>
    </row>
    <row r="44" spans="1:20" x14ac:dyDescent="0.25">
      <c r="A44" s="15" t="s">
        <v>151</v>
      </c>
      <c r="B44" s="3">
        <f t="shared" ref="B44" si="1">B41</f>
        <v>80</v>
      </c>
      <c r="C44" s="3">
        <f t="shared" si="0"/>
        <v>4</v>
      </c>
      <c r="D44" s="3" t="s">
        <v>152</v>
      </c>
      <c r="E44" s="3"/>
      <c r="F44" s="3">
        <v>-2147483647</v>
      </c>
      <c r="G44" s="3">
        <v>2147483647</v>
      </c>
      <c r="H44" s="3"/>
      <c r="I44" s="3" t="s">
        <v>100</v>
      </c>
      <c r="K44" s="3"/>
    </row>
    <row r="45" spans="1:20" x14ac:dyDescent="0.25">
      <c r="A45" s="15" t="s">
        <v>1015</v>
      </c>
      <c r="B45" s="3">
        <v>80</v>
      </c>
      <c r="C45" s="3">
        <v>5</v>
      </c>
      <c r="D45" s="3" t="s">
        <v>147</v>
      </c>
      <c r="E45" s="3"/>
      <c r="F45" s="3">
        <v>-800</v>
      </c>
      <c r="G45" s="3">
        <v>800</v>
      </c>
      <c r="H45" s="3" t="s">
        <v>317</v>
      </c>
      <c r="I45" s="3" t="s">
        <v>93</v>
      </c>
      <c r="K45" s="3" t="s">
        <v>318</v>
      </c>
      <c r="L45" s="1"/>
      <c r="M45" s="1"/>
      <c r="N45" s="1"/>
      <c r="O45" s="1"/>
      <c r="P45" s="1"/>
      <c r="Q45" s="1"/>
      <c r="R45" s="1"/>
      <c r="S45" s="1"/>
    </row>
    <row r="46" spans="1:20" ht="30" x14ac:dyDescent="0.25">
      <c r="A46" s="15" t="s">
        <v>163</v>
      </c>
      <c r="B46" s="3">
        <v>80</v>
      </c>
      <c r="C46" s="3">
        <v>6</v>
      </c>
      <c r="D46" s="3" t="s">
        <v>147</v>
      </c>
      <c r="E46" s="3"/>
      <c r="F46" s="3">
        <v>-32767</v>
      </c>
      <c r="G46" s="3">
        <v>32767</v>
      </c>
      <c r="H46" s="3"/>
      <c r="I46" s="3" t="s">
        <v>100</v>
      </c>
      <c r="J46" s="34" t="s">
        <v>484</v>
      </c>
      <c r="K46" s="3"/>
    </row>
    <row r="47" spans="1:20" x14ac:dyDescent="0.25">
      <c r="A47" s="15" t="s">
        <v>164</v>
      </c>
      <c r="B47" s="3">
        <v>80</v>
      </c>
      <c r="C47" s="3">
        <f>C46+1</f>
        <v>7</v>
      </c>
      <c r="D47" s="3" t="s">
        <v>165</v>
      </c>
      <c r="E47" s="3"/>
      <c r="F47" s="3">
        <v>-2147483647</v>
      </c>
      <c r="G47" s="3">
        <v>2147483647</v>
      </c>
      <c r="H47" s="3"/>
      <c r="I47" s="3" t="s">
        <v>100</v>
      </c>
      <c r="K47" s="3"/>
      <c r="L47" s="1"/>
      <c r="M47" s="1"/>
      <c r="N47" s="1"/>
      <c r="O47" s="1"/>
      <c r="P47" s="1"/>
      <c r="Q47" s="1"/>
      <c r="R47" s="1"/>
      <c r="S47" s="1"/>
    </row>
    <row r="48" spans="1:20" x14ac:dyDescent="0.25">
      <c r="A48" s="15" t="s">
        <v>319</v>
      </c>
      <c r="B48" s="3">
        <v>80</v>
      </c>
      <c r="C48" s="3">
        <v>8</v>
      </c>
      <c r="D48" s="3" t="s">
        <v>140</v>
      </c>
      <c r="E48" s="3"/>
      <c r="F48" s="3">
        <v>0</v>
      </c>
      <c r="G48" s="3">
        <v>1</v>
      </c>
      <c r="H48" s="3"/>
      <c r="I48" s="3" t="s">
        <v>100</v>
      </c>
      <c r="K48" s="3" t="s">
        <v>320</v>
      </c>
    </row>
    <row r="49" spans="1:1025" x14ac:dyDescent="0.25">
      <c r="A49" s="15" t="s">
        <v>323</v>
      </c>
      <c r="B49" s="3">
        <v>80</v>
      </c>
      <c r="C49" s="3">
        <v>9</v>
      </c>
      <c r="D49" s="3" t="s">
        <v>99</v>
      </c>
      <c r="E49" s="3"/>
      <c r="F49" s="3">
        <v>0</v>
      </c>
      <c r="G49" s="3">
        <v>4294967294</v>
      </c>
      <c r="H49" s="3"/>
      <c r="I49" s="3" t="s">
        <v>100</v>
      </c>
      <c r="K49" s="18"/>
      <c r="L49" s="1"/>
      <c r="M49" s="1"/>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c r="ZD49" s="3"/>
      <c r="ZE49" s="3"/>
      <c r="ZF49" s="3"/>
      <c r="ZG49" s="3"/>
      <c r="ZH49" s="3"/>
      <c r="ZI49" s="3"/>
      <c r="ZJ49" s="3"/>
      <c r="ZK49" s="3"/>
      <c r="ZL49" s="3"/>
      <c r="ZM49" s="3"/>
      <c r="ZN49" s="3"/>
      <c r="ZO49" s="3"/>
      <c r="ZP49" s="3"/>
      <c r="ZQ49" s="3"/>
      <c r="ZR49" s="3"/>
      <c r="ZS49" s="3"/>
      <c r="ZT49" s="3"/>
      <c r="ZU49" s="3"/>
      <c r="ZV49" s="3"/>
      <c r="ZW49" s="3"/>
      <c r="ZX49" s="3"/>
      <c r="ZY49" s="3"/>
      <c r="ZZ49" s="3"/>
      <c r="AAA49" s="3"/>
      <c r="AAB49" s="3"/>
      <c r="AAC49" s="3"/>
      <c r="AAD49" s="3"/>
      <c r="AAE49" s="3"/>
      <c r="AAF49" s="3"/>
      <c r="AAG49" s="3"/>
      <c r="AAH49" s="3"/>
      <c r="AAI49" s="3"/>
      <c r="AAJ49" s="3"/>
      <c r="AAK49" s="3"/>
      <c r="AAL49" s="3"/>
      <c r="AAM49" s="3"/>
      <c r="AAN49" s="3"/>
      <c r="AAO49" s="3"/>
      <c r="AAP49" s="3"/>
      <c r="AAQ49" s="3"/>
      <c r="AAR49" s="3"/>
      <c r="AAS49" s="3"/>
      <c r="AAT49" s="3"/>
      <c r="AAU49" s="3"/>
      <c r="AAV49" s="3"/>
      <c r="AAW49" s="3"/>
      <c r="AAX49" s="3"/>
      <c r="AAY49" s="3"/>
      <c r="AAZ49" s="3"/>
      <c r="ABA49" s="3"/>
      <c r="ABB49" s="3"/>
      <c r="ABC49" s="3"/>
      <c r="ABD49" s="3"/>
      <c r="ABE49" s="3"/>
      <c r="ABF49" s="3"/>
      <c r="ABG49" s="3"/>
      <c r="ABH49" s="3"/>
      <c r="ABI49" s="3"/>
      <c r="ABJ49" s="3"/>
      <c r="ABK49" s="3"/>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3"/>
      <c r="ADL49" s="3"/>
      <c r="ADM49" s="3"/>
      <c r="ADN49" s="3"/>
      <c r="ADO49" s="3"/>
      <c r="ADP49" s="3"/>
      <c r="ADQ49" s="3"/>
      <c r="ADR49" s="3"/>
      <c r="ADS49" s="3"/>
      <c r="ADT49" s="3"/>
      <c r="ADU49" s="3"/>
      <c r="ADV49" s="3"/>
      <c r="ADW49" s="3"/>
      <c r="ADX49" s="3"/>
      <c r="ADY49" s="3"/>
      <c r="ADZ49" s="3"/>
      <c r="AEA49" s="3"/>
      <c r="AEB49" s="3"/>
      <c r="AEC49" s="3"/>
      <c r="AED49" s="3"/>
      <c r="AEE49" s="3"/>
      <c r="AEF49" s="3"/>
      <c r="AEG49" s="3"/>
      <c r="AEH49" s="3"/>
      <c r="AEI49" s="3"/>
      <c r="AEJ49" s="3"/>
      <c r="AEK49" s="3"/>
      <c r="AEL49" s="3"/>
      <c r="AEM49" s="3"/>
      <c r="AEN49" s="3"/>
      <c r="AEO49" s="3"/>
      <c r="AEP49" s="3"/>
      <c r="AEQ49" s="3"/>
      <c r="AER49" s="3"/>
      <c r="AES49" s="3"/>
      <c r="AET49" s="3"/>
      <c r="AEU49" s="3"/>
      <c r="AEV49" s="3"/>
      <c r="AEW49" s="3"/>
      <c r="AEX49" s="3"/>
      <c r="AEY49" s="3"/>
      <c r="AEZ49" s="3"/>
      <c r="AFA49" s="3"/>
      <c r="AFB49" s="3"/>
      <c r="AFC49" s="3"/>
      <c r="AFD49" s="3"/>
      <c r="AFE49" s="3"/>
      <c r="AFF49" s="3"/>
      <c r="AFG49" s="3"/>
      <c r="AFH49" s="3"/>
      <c r="AFI49" s="3"/>
      <c r="AFJ49" s="3"/>
      <c r="AFK49" s="3"/>
      <c r="AFL49" s="3"/>
      <c r="AFM49" s="3"/>
      <c r="AFN49" s="3"/>
      <c r="AFO49" s="3"/>
      <c r="AFP49" s="3"/>
      <c r="AFQ49" s="3"/>
      <c r="AFR49" s="3"/>
      <c r="AFS49" s="3"/>
      <c r="AFT49" s="3"/>
      <c r="AFU49" s="3"/>
      <c r="AFV49" s="3"/>
      <c r="AFW49" s="3"/>
      <c r="AFX49" s="3"/>
      <c r="AFY49" s="3"/>
      <c r="AFZ49" s="3"/>
      <c r="AGA49" s="3"/>
      <c r="AGB49" s="3"/>
      <c r="AGC49" s="3"/>
      <c r="AGD49" s="3"/>
      <c r="AGE49" s="3"/>
      <c r="AGF49" s="3"/>
      <c r="AGG49" s="3"/>
      <c r="AGH49" s="3"/>
      <c r="AGI49" s="3"/>
      <c r="AGJ49" s="3"/>
      <c r="AGK49" s="3"/>
      <c r="AGL49" s="3"/>
      <c r="AGM49" s="3"/>
      <c r="AGN49" s="3"/>
      <c r="AGO49" s="3"/>
      <c r="AGP49" s="3"/>
      <c r="AGQ49" s="3"/>
      <c r="AGR49" s="3"/>
      <c r="AGS49" s="3"/>
      <c r="AGT49" s="3"/>
      <c r="AGU49" s="3"/>
      <c r="AGV49" s="3"/>
      <c r="AGW49" s="3"/>
      <c r="AGX49" s="3"/>
      <c r="AGY49" s="3"/>
      <c r="AGZ49" s="3"/>
      <c r="AHA49" s="3"/>
      <c r="AHB49" s="3"/>
      <c r="AHC49" s="3"/>
      <c r="AHD49" s="3"/>
      <c r="AHE49" s="3"/>
      <c r="AHF49" s="3"/>
      <c r="AHG49" s="3"/>
      <c r="AHH49" s="3"/>
      <c r="AHI49" s="3"/>
      <c r="AHJ49" s="3"/>
      <c r="AHK49" s="3"/>
      <c r="AHL49" s="3"/>
      <c r="AHM49" s="3"/>
      <c r="AHN49" s="3"/>
      <c r="AHO49" s="3"/>
      <c r="AHP49" s="3"/>
      <c r="AHQ49" s="3"/>
      <c r="AHR49" s="3"/>
      <c r="AHS49" s="3"/>
      <c r="AHT49" s="3"/>
      <c r="AHU49" s="3"/>
      <c r="AHV49" s="3"/>
      <c r="AHW49" s="3"/>
      <c r="AHX49" s="3"/>
      <c r="AHY49" s="3"/>
      <c r="AHZ49" s="3"/>
      <c r="AIA49" s="3"/>
      <c r="AIB49" s="3"/>
      <c r="AIC49" s="3"/>
      <c r="AID49" s="3"/>
      <c r="AIE49" s="3"/>
      <c r="AIF49" s="3"/>
      <c r="AIG49" s="3"/>
      <c r="AIH49" s="3"/>
      <c r="AII49" s="3"/>
      <c r="AIJ49" s="3"/>
      <c r="AIK49" s="3"/>
      <c r="AIL49" s="3"/>
      <c r="AIM49" s="3"/>
      <c r="AIN49" s="3"/>
      <c r="AIO49" s="3"/>
      <c r="AIP49" s="3"/>
      <c r="AIQ49" s="3"/>
      <c r="AIR49" s="3"/>
      <c r="AIS49" s="3"/>
      <c r="AIT49" s="3"/>
      <c r="AIU49" s="3"/>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3"/>
      <c r="ALD49" s="3"/>
      <c r="ALE49" s="3"/>
      <c r="ALF49" s="3"/>
      <c r="ALG49" s="3"/>
      <c r="ALH49" s="3"/>
      <c r="ALI49" s="3"/>
      <c r="ALJ49" s="3"/>
      <c r="ALK49" s="3"/>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row>
    <row r="50" spans="1:1025" x14ac:dyDescent="0.25">
      <c r="A50" s="15" t="s">
        <v>324</v>
      </c>
      <c r="B50" s="3">
        <v>80</v>
      </c>
      <c r="C50" s="3" t="s">
        <v>55</v>
      </c>
      <c r="D50" s="3" t="s">
        <v>99</v>
      </c>
      <c r="E50" s="3"/>
      <c r="F50" s="3">
        <v>0</v>
      </c>
      <c r="G50" s="3">
        <v>4294967294</v>
      </c>
      <c r="H50" s="3"/>
      <c r="I50" s="3" t="s">
        <v>100</v>
      </c>
      <c r="K50" s="18"/>
      <c r="L50" s="1"/>
      <c r="M50" s="1"/>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c r="ZD50" s="3"/>
      <c r="ZE50" s="3"/>
      <c r="ZF50" s="3"/>
      <c r="ZG50" s="3"/>
      <c r="ZH50" s="3"/>
      <c r="ZI50" s="3"/>
      <c r="ZJ50" s="3"/>
      <c r="ZK50" s="3"/>
      <c r="ZL50" s="3"/>
      <c r="ZM50" s="3"/>
      <c r="ZN50" s="3"/>
      <c r="ZO50" s="3"/>
      <c r="ZP50" s="3"/>
      <c r="ZQ50" s="3"/>
      <c r="ZR50" s="3"/>
      <c r="ZS50" s="3"/>
      <c r="ZT50" s="3"/>
      <c r="ZU50" s="3"/>
      <c r="ZV50" s="3"/>
      <c r="ZW50" s="3"/>
      <c r="ZX50" s="3"/>
      <c r="ZY50" s="3"/>
      <c r="ZZ50" s="3"/>
      <c r="AAA50" s="3"/>
      <c r="AAB50" s="3"/>
      <c r="AAC50" s="3"/>
      <c r="AAD50" s="3"/>
      <c r="AAE50" s="3"/>
      <c r="AAF50" s="3"/>
      <c r="AAG50" s="3"/>
      <c r="AAH50" s="3"/>
      <c r="AAI50" s="3"/>
      <c r="AAJ50" s="3"/>
      <c r="AAK50" s="3"/>
      <c r="AAL50" s="3"/>
      <c r="AAM50" s="3"/>
      <c r="AAN50" s="3"/>
      <c r="AAO50" s="3"/>
      <c r="AAP50" s="3"/>
      <c r="AAQ50" s="3"/>
      <c r="AAR50" s="3"/>
      <c r="AAS50" s="3"/>
      <c r="AAT50" s="3"/>
      <c r="AAU50" s="3"/>
      <c r="AAV50" s="3"/>
      <c r="AAW50" s="3"/>
      <c r="AAX50" s="3"/>
      <c r="AAY50" s="3"/>
      <c r="AAZ50" s="3"/>
      <c r="ABA50" s="3"/>
      <c r="ABB50" s="3"/>
      <c r="ABC50" s="3"/>
      <c r="ABD50" s="3"/>
      <c r="ABE50" s="3"/>
      <c r="ABF50" s="3"/>
      <c r="ABG50" s="3"/>
      <c r="ABH50" s="3"/>
      <c r="ABI50" s="3"/>
      <c r="ABJ50" s="3"/>
      <c r="ABK50" s="3"/>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3"/>
      <c r="ADL50" s="3"/>
      <c r="ADM50" s="3"/>
      <c r="ADN50" s="3"/>
      <c r="ADO50" s="3"/>
      <c r="ADP50" s="3"/>
      <c r="ADQ50" s="3"/>
      <c r="ADR50" s="3"/>
      <c r="ADS50" s="3"/>
      <c r="ADT50" s="3"/>
      <c r="ADU50" s="3"/>
      <c r="ADV50" s="3"/>
      <c r="ADW50" s="3"/>
      <c r="ADX50" s="3"/>
      <c r="ADY50" s="3"/>
      <c r="ADZ50" s="3"/>
      <c r="AEA50" s="3"/>
      <c r="AEB50" s="3"/>
      <c r="AEC50" s="3"/>
      <c r="AED50" s="3"/>
      <c r="AEE50" s="3"/>
      <c r="AEF50" s="3"/>
      <c r="AEG50" s="3"/>
      <c r="AEH50" s="3"/>
      <c r="AEI50" s="3"/>
      <c r="AEJ50" s="3"/>
      <c r="AEK50" s="3"/>
      <c r="AEL50" s="3"/>
      <c r="AEM50" s="3"/>
      <c r="AEN50" s="3"/>
      <c r="AEO50" s="3"/>
      <c r="AEP50" s="3"/>
      <c r="AEQ50" s="3"/>
      <c r="AER50" s="3"/>
      <c r="AES50" s="3"/>
      <c r="AET50" s="3"/>
      <c r="AEU50" s="3"/>
      <c r="AEV50" s="3"/>
      <c r="AEW50" s="3"/>
      <c r="AEX50" s="3"/>
      <c r="AEY50" s="3"/>
      <c r="AEZ50" s="3"/>
      <c r="AFA50" s="3"/>
      <c r="AFB50" s="3"/>
      <c r="AFC50" s="3"/>
      <c r="AFD50" s="3"/>
      <c r="AFE50" s="3"/>
      <c r="AFF50" s="3"/>
      <c r="AFG50" s="3"/>
      <c r="AFH50" s="3"/>
      <c r="AFI50" s="3"/>
      <c r="AFJ50" s="3"/>
      <c r="AFK50" s="3"/>
      <c r="AFL50" s="3"/>
      <c r="AFM50" s="3"/>
      <c r="AFN50" s="3"/>
      <c r="AFO50" s="3"/>
      <c r="AFP50" s="3"/>
      <c r="AFQ50" s="3"/>
      <c r="AFR50" s="3"/>
      <c r="AFS50" s="3"/>
      <c r="AFT50" s="3"/>
      <c r="AFU50" s="3"/>
      <c r="AFV50" s="3"/>
      <c r="AFW50" s="3"/>
      <c r="AFX50" s="3"/>
      <c r="AFY50" s="3"/>
      <c r="AFZ50" s="3"/>
      <c r="AGA50" s="3"/>
      <c r="AGB50" s="3"/>
      <c r="AGC50" s="3"/>
      <c r="AGD50" s="3"/>
      <c r="AGE50" s="3"/>
      <c r="AGF50" s="3"/>
      <c r="AGG50" s="3"/>
      <c r="AGH50" s="3"/>
      <c r="AGI50" s="3"/>
      <c r="AGJ50" s="3"/>
      <c r="AGK50" s="3"/>
      <c r="AGL50" s="3"/>
      <c r="AGM50" s="3"/>
      <c r="AGN50" s="3"/>
      <c r="AGO50" s="3"/>
      <c r="AGP50" s="3"/>
      <c r="AGQ50" s="3"/>
      <c r="AGR50" s="3"/>
      <c r="AGS50" s="3"/>
      <c r="AGT50" s="3"/>
      <c r="AGU50" s="3"/>
      <c r="AGV50" s="3"/>
      <c r="AGW50" s="3"/>
      <c r="AGX50" s="3"/>
      <c r="AGY50" s="3"/>
      <c r="AGZ50" s="3"/>
      <c r="AHA50" s="3"/>
      <c r="AHB50" s="3"/>
      <c r="AHC50" s="3"/>
      <c r="AHD50" s="3"/>
      <c r="AHE50" s="3"/>
      <c r="AHF50" s="3"/>
      <c r="AHG50" s="3"/>
      <c r="AHH50" s="3"/>
      <c r="AHI50" s="3"/>
      <c r="AHJ50" s="3"/>
      <c r="AHK50" s="3"/>
      <c r="AHL50" s="3"/>
      <c r="AHM50" s="3"/>
      <c r="AHN50" s="3"/>
      <c r="AHO50" s="3"/>
      <c r="AHP50" s="3"/>
      <c r="AHQ50" s="3"/>
      <c r="AHR50" s="3"/>
      <c r="AHS50" s="3"/>
      <c r="AHT50" s="3"/>
      <c r="AHU50" s="3"/>
      <c r="AHV50" s="3"/>
      <c r="AHW50" s="3"/>
      <c r="AHX50" s="3"/>
      <c r="AHY50" s="3"/>
      <c r="AHZ50" s="3"/>
      <c r="AIA50" s="3"/>
      <c r="AIB50" s="3"/>
      <c r="AIC50" s="3"/>
      <c r="AID50" s="3"/>
      <c r="AIE50" s="3"/>
      <c r="AIF50" s="3"/>
      <c r="AIG50" s="3"/>
      <c r="AIH50" s="3"/>
      <c r="AII50" s="3"/>
      <c r="AIJ50" s="3"/>
      <c r="AIK50" s="3"/>
      <c r="AIL50" s="3"/>
      <c r="AIM50" s="3"/>
      <c r="AIN50" s="3"/>
      <c r="AIO50" s="3"/>
      <c r="AIP50" s="3"/>
      <c r="AIQ50" s="3"/>
      <c r="AIR50" s="3"/>
      <c r="AIS50" s="3"/>
      <c r="AIT50" s="3"/>
      <c r="AIU50" s="3"/>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3"/>
      <c r="AKW50" s="3"/>
      <c r="AKX50" s="3"/>
      <c r="AKY50" s="3"/>
      <c r="AKZ50" s="3"/>
      <c r="ALA50" s="3"/>
      <c r="ALB50" s="3"/>
      <c r="ALC50" s="3"/>
      <c r="ALD50" s="3"/>
      <c r="ALE50" s="3"/>
      <c r="ALF50" s="3"/>
      <c r="ALG50" s="3"/>
      <c r="ALH50" s="3"/>
      <c r="ALI50" s="3"/>
      <c r="ALJ50" s="3"/>
      <c r="ALK50" s="3"/>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row>
    <row r="51" spans="1:1025" x14ac:dyDescent="0.25">
      <c r="A51" s="15" t="s">
        <v>325</v>
      </c>
      <c r="B51" s="3">
        <v>80</v>
      </c>
      <c r="C51" s="3" t="s">
        <v>57</v>
      </c>
      <c r="D51" s="3" t="s">
        <v>99</v>
      </c>
      <c r="E51" s="3"/>
      <c r="F51" s="3">
        <v>0</v>
      </c>
      <c r="G51" s="3">
        <v>4294967294</v>
      </c>
      <c r="H51" s="3"/>
      <c r="I51" s="3" t="s">
        <v>100</v>
      </c>
      <c r="J51" s="1" t="s">
        <v>479</v>
      </c>
      <c r="K51" s="18"/>
      <c r="L51" s="1"/>
      <c r="M51" s="1"/>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c r="ZD51" s="3"/>
      <c r="ZE51" s="3"/>
      <c r="ZF51" s="3"/>
      <c r="ZG51" s="3"/>
      <c r="ZH51" s="3"/>
      <c r="ZI51" s="3"/>
      <c r="ZJ51" s="3"/>
      <c r="ZK51" s="3"/>
      <c r="ZL51" s="3"/>
      <c r="ZM51" s="3"/>
      <c r="ZN51" s="3"/>
      <c r="ZO51" s="3"/>
      <c r="ZP51" s="3"/>
      <c r="ZQ51" s="3"/>
      <c r="ZR51" s="3"/>
      <c r="ZS51" s="3"/>
      <c r="ZT51" s="3"/>
      <c r="ZU51" s="3"/>
      <c r="ZV51" s="3"/>
      <c r="ZW51" s="3"/>
      <c r="ZX51" s="3"/>
      <c r="ZY51" s="3"/>
      <c r="ZZ51" s="3"/>
      <c r="AAA51" s="3"/>
      <c r="AAB51" s="3"/>
      <c r="AAC51" s="3"/>
      <c r="AAD51" s="3"/>
      <c r="AAE51" s="3"/>
      <c r="AAF51" s="3"/>
      <c r="AAG51" s="3"/>
      <c r="AAH51" s="3"/>
      <c r="AAI51" s="3"/>
      <c r="AAJ51" s="3"/>
      <c r="AAK51" s="3"/>
      <c r="AAL51" s="3"/>
      <c r="AAM51" s="3"/>
      <c r="AAN51" s="3"/>
      <c r="AAO51" s="3"/>
      <c r="AAP51" s="3"/>
      <c r="AAQ51" s="3"/>
      <c r="AAR51" s="3"/>
      <c r="AAS51" s="3"/>
      <c r="AAT51" s="3"/>
      <c r="AAU51" s="3"/>
      <c r="AAV51" s="3"/>
      <c r="AAW51" s="3"/>
      <c r="AAX51" s="3"/>
      <c r="AAY51" s="3"/>
      <c r="AAZ51" s="3"/>
      <c r="ABA51" s="3"/>
      <c r="ABB51" s="3"/>
      <c r="ABC51" s="3"/>
      <c r="ABD51" s="3"/>
      <c r="ABE51" s="3"/>
      <c r="ABF51" s="3"/>
      <c r="ABG51" s="3"/>
      <c r="ABH51" s="3"/>
      <c r="ABI51" s="3"/>
      <c r="ABJ51" s="3"/>
      <c r="ABK51" s="3"/>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3"/>
      <c r="ADW51" s="3"/>
      <c r="ADX51" s="3"/>
      <c r="ADY51" s="3"/>
      <c r="ADZ51" s="3"/>
      <c r="AEA51" s="3"/>
      <c r="AEB51" s="3"/>
      <c r="AEC51" s="3"/>
      <c r="AED51" s="3"/>
      <c r="AEE51" s="3"/>
      <c r="AEF51" s="3"/>
      <c r="AEG51" s="3"/>
      <c r="AEH51" s="3"/>
      <c r="AEI51" s="3"/>
      <c r="AEJ51" s="3"/>
      <c r="AEK51" s="3"/>
      <c r="AEL51" s="3"/>
      <c r="AEM51" s="3"/>
      <c r="AEN51" s="3"/>
      <c r="AEO51" s="3"/>
      <c r="AEP51" s="3"/>
      <c r="AEQ51" s="3"/>
      <c r="AER51" s="3"/>
      <c r="AES51" s="3"/>
      <c r="AET51" s="3"/>
      <c r="AEU51" s="3"/>
      <c r="AEV51" s="3"/>
      <c r="AEW51" s="3"/>
      <c r="AEX51" s="3"/>
      <c r="AEY51" s="3"/>
      <c r="AEZ51" s="3"/>
      <c r="AFA51" s="3"/>
      <c r="AFB51" s="3"/>
      <c r="AFC51" s="3"/>
      <c r="AFD51" s="3"/>
      <c r="AFE51" s="3"/>
      <c r="AFF51" s="3"/>
      <c r="AFG51" s="3"/>
      <c r="AFH51" s="3"/>
      <c r="AFI51" s="3"/>
      <c r="AFJ51" s="3"/>
      <c r="AFK51" s="3"/>
      <c r="AFL51" s="3"/>
      <c r="AFM51" s="3"/>
      <c r="AFN51" s="3"/>
      <c r="AFO51" s="3"/>
      <c r="AFP51" s="3"/>
      <c r="AFQ51" s="3"/>
      <c r="AFR51" s="3"/>
      <c r="AFS51" s="3"/>
      <c r="AFT51" s="3"/>
      <c r="AFU51" s="3"/>
      <c r="AFV51" s="3"/>
      <c r="AFW51" s="3"/>
      <c r="AFX51" s="3"/>
      <c r="AFY51" s="3"/>
      <c r="AFZ51" s="3"/>
      <c r="AGA51" s="3"/>
      <c r="AGB51" s="3"/>
      <c r="AGC51" s="3"/>
      <c r="AGD51" s="3"/>
      <c r="AGE51" s="3"/>
      <c r="AGF51" s="3"/>
      <c r="AGG51" s="3"/>
      <c r="AGH51" s="3"/>
      <c r="AGI51" s="3"/>
      <c r="AGJ51" s="3"/>
      <c r="AGK51" s="3"/>
      <c r="AGL51" s="3"/>
      <c r="AGM51" s="3"/>
      <c r="AGN51" s="3"/>
      <c r="AGO51" s="3"/>
      <c r="AGP51" s="3"/>
      <c r="AGQ51" s="3"/>
      <c r="AGR51" s="3"/>
      <c r="AGS51" s="3"/>
      <c r="AGT51" s="3"/>
      <c r="AGU51" s="3"/>
      <c r="AGV51" s="3"/>
      <c r="AGW51" s="3"/>
      <c r="AGX51" s="3"/>
      <c r="AGY51" s="3"/>
      <c r="AGZ51" s="3"/>
      <c r="AHA51" s="3"/>
      <c r="AHB51" s="3"/>
      <c r="AHC51" s="3"/>
      <c r="AHD51" s="3"/>
      <c r="AHE51" s="3"/>
      <c r="AHF51" s="3"/>
      <c r="AHG51" s="3"/>
      <c r="AHH51" s="3"/>
      <c r="AHI51" s="3"/>
      <c r="AHJ51" s="3"/>
      <c r="AHK51" s="3"/>
      <c r="AHL51" s="3"/>
      <c r="AHM51" s="3"/>
      <c r="AHN51" s="3"/>
      <c r="AHO51" s="3"/>
      <c r="AHP51" s="3"/>
      <c r="AHQ51" s="3"/>
      <c r="AHR51" s="3"/>
      <c r="AHS51" s="3"/>
      <c r="AHT51" s="3"/>
      <c r="AHU51" s="3"/>
      <c r="AHV51" s="3"/>
      <c r="AHW51" s="3"/>
      <c r="AHX51" s="3"/>
      <c r="AHY51" s="3"/>
      <c r="AHZ51" s="3"/>
      <c r="AIA51" s="3"/>
      <c r="AIB51" s="3"/>
      <c r="AIC51" s="3"/>
      <c r="AID51" s="3"/>
      <c r="AIE51" s="3"/>
      <c r="AIF51" s="3"/>
      <c r="AIG51" s="3"/>
      <c r="AIH51" s="3"/>
      <c r="AII51" s="3"/>
      <c r="AIJ51" s="3"/>
      <c r="AIK51" s="3"/>
      <c r="AIL51" s="3"/>
      <c r="AIM51" s="3"/>
      <c r="AIN51" s="3"/>
      <c r="AIO51" s="3"/>
      <c r="AIP51" s="3"/>
      <c r="AIQ51" s="3"/>
      <c r="AIR51" s="3"/>
      <c r="AIS51" s="3"/>
      <c r="AIT51" s="3"/>
      <c r="AIU51" s="3"/>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3"/>
      <c r="ALD51" s="3"/>
      <c r="ALE51" s="3"/>
      <c r="ALF51" s="3"/>
      <c r="ALG51" s="3"/>
      <c r="ALH51" s="3"/>
      <c r="ALI51" s="3"/>
      <c r="ALJ51" s="3"/>
      <c r="ALK51" s="3"/>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row>
    <row r="52" spans="1:1025" x14ac:dyDescent="0.25">
      <c r="A52" s="15" t="s">
        <v>326</v>
      </c>
      <c r="B52" s="3">
        <v>80</v>
      </c>
      <c r="C52" s="3" t="s">
        <v>58</v>
      </c>
      <c r="D52" s="3" t="s">
        <v>99</v>
      </c>
      <c r="E52" s="3"/>
      <c r="F52" s="3">
        <v>0</v>
      </c>
      <c r="G52" s="3">
        <v>4294967294</v>
      </c>
      <c r="H52" s="3"/>
      <c r="I52" s="3" t="s">
        <v>100</v>
      </c>
      <c r="J52" s="1" t="s">
        <v>479</v>
      </c>
      <c r="K52" s="18"/>
      <c r="L52" s="1"/>
      <c r="M52" s="1"/>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c r="ZD52" s="3"/>
      <c r="ZE52" s="3"/>
      <c r="ZF52" s="3"/>
      <c r="ZG52" s="3"/>
      <c r="ZH52" s="3"/>
      <c r="ZI52" s="3"/>
      <c r="ZJ52" s="3"/>
      <c r="ZK52" s="3"/>
      <c r="ZL52" s="3"/>
      <c r="ZM52" s="3"/>
      <c r="ZN52" s="3"/>
      <c r="ZO52" s="3"/>
      <c r="ZP52" s="3"/>
      <c r="ZQ52" s="3"/>
      <c r="ZR52" s="3"/>
      <c r="ZS52" s="3"/>
      <c r="ZT52" s="3"/>
      <c r="ZU52" s="3"/>
      <c r="ZV52" s="3"/>
      <c r="ZW52" s="3"/>
      <c r="ZX52" s="3"/>
      <c r="ZY52" s="3"/>
      <c r="ZZ52" s="3"/>
      <c r="AAA52" s="3"/>
      <c r="AAB52" s="3"/>
      <c r="AAC52" s="3"/>
      <c r="AAD52" s="3"/>
      <c r="AAE52" s="3"/>
      <c r="AAF52" s="3"/>
      <c r="AAG52" s="3"/>
      <c r="AAH52" s="3"/>
      <c r="AAI52" s="3"/>
      <c r="AAJ52" s="3"/>
      <c r="AAK52" s="3"/>
      <c r="AAL52" s="3"/>
      <c r="AAM52" s="3"/>
      <c r="AAN52" s="3"/>
      <c r="AAO52" s="3"/>
      <c r="AAP52" s="3"/>
      <c r="AAQ52" s="3"/>
      <c r="AAR52" s="3"/>
      <c r="AAS52" s="3"/>
      <c r="AAT52" s="3"/>
      <c r="AAU52" s="3"/>
      <c r="AAV52" s="3"/>
      <c r="AAW52" s="3"/>
      <c r="AAX52" s="3"/>
      <c r="AAY52" s="3"/>
      <c r="AAZ52" s="3"/>
      <c r="ABA52" s="3"/>
      <c r="ABB52" s="3"/>
      <c r="ABC52" s="3"/>
      <c r="ABD52" s="3"/>
      <c r="ABE52" s="3"/>
      <c r="ABF52" s="3"/>
      <c r="ABG52" s="3"/>
      <c r="ABH52" s="3"/>
      <c r="ABI52" s="3"/>
      <c r="ABJ52" s="3"/>
      <c r="ABK52" s="3"/>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3"/>
      <c r="ADJ52" s="3"/>
      <c r="ADK52" s="3"/>
      <c r="ADL52" s="3"/>
      <c r="ADM52" s="3"/>
      <c r="ADN52" s="3"/>
      <c r="ADO52" s="3"/>
      <c r="ADP52" s="3"/>
      <c r="ADQ52" s="3"/>
      <c r="ADR52" s="3"/>
      <c r="ADS52" s="3"/>
      <c r="ADT52" s="3"/>
      <c r="ADU52" s="3"/>
      <c r="ADV52" s="3"/>
      <c r="ADW52" s="3"/>
      <c r="ADX52" s="3"/>
      <c r="ADY52" s="3"/>
      <c r="ADZ52" s="3"/>
      <c r="AEA52" s="3"/>
      <c r="AEB52" s="3"/>
      <c r="AEC52" s="3"/>
      <c r="AED52" s="3"/>
      <c r="AEE52" s="3"/>
      <c r="AEF52" s="3"/>
      <c r="AEG52" s="3"/>
      <c r="AEH52" s="3"/>
      <c r="AEI52" s="3"/>
      <c r="AEJ52" s="3"/>
      <c r="AEK52" s="3"/>
      <c r="AEL52" s="3"/>
      <c r="AEM52" s="3"/>
      <c r="AEN52" s="3"/>
      <c r="AEO52" s="3"/>
      <c r="AEP52" s="3"/>
      <c r="AEQ52" s="3"/>
      <c r="AER52" s="3"/>
      <c r="AES52" s="3"/>
      <c r="AET52" s="3"/>
      <c r="AEU52" s="3"/>
      <c r="AEV52" s="3"/>
      <c r="AEW52" s="3"/>
      <c r="AEX52" s="3"/>
      <c r="AEY52" s="3"/>
      <c r="AEZ52" s="3"/>
      <c r="AFA52" s="3"/>
      <c r="AFB52" s="3"/>
      <c r="AFC52" s="3"/>
      <c r="AFD52" s="3"/>
      <c r="AFE52" s="3"/>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3"/>
      <c r="AHP52" s="3"/>
      <c r="AHQ52" s="3"/>
      <c r="AHR52" s="3"/>
      <c r="AHS52" s="3"/>
      <c r="AHT52" s="3"/>
      <c r="AHU52" s="3"/>
      <c r="AHV52" s="3"/>
      <c r="AHW52" s="3"/>
      <c r="AHX52" s="3"/>
      <c r="AHY52" s="3"/>
      <c r="AHZ52" s="3"/>
      <c r="AIA52" s="3"/>
      <c r="AIB52" s="3"/>
      <c r="AIC52" s="3"/>
      <c r="AID52" s="3"/>
      <c r="AIE52" s="3"/>
      <c r="AIF52" s="3"/>
      <c r="AIG52" s="3"/>
      <c r="AIH52" s="3"/>
      <c r="AII52" s="3"/>
      <c r="AIJ52" s="3"/>
      <c r="AIK52" s="3"/>
      <c r="AIL52" s="3"/>
      <c r="AIM52" s="3"/>
      <c r="AIN52" s="3"/>
      <c r="AIO52" s="3"/>
      <c r="AIP52" s="3"/>
      <c r="AIQ52" s="3"/>
      <c r="AIR52" s="3"/>
      <c r="AIS52" s="3"/>
      <c r="AIT52" s="3"/>
      <c r="AIU52" s="3"/>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3"/>
      <c r="ALD52" s="3"/>
      <c r="ALE52" s="3"/>
      <c r="ALF52" s="3"/>
      <c r="ALG52" s="3"/>
      <c r="ALH52" s="3"/>
      <c r="ALI52" s="3"/>
      <c r="ALJ52" s="3"/>
      <c r="ALK52" s="3"/>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row>
    <row r="53" spans="1:1025" x14ac:dyDescent="0.25">
      <c r="A53" s="15" t="s">
        <v>327</v>
      </c>
      <c r="B53" s="3">
        <v>80</v>
      </c>
      <c r="C53" s="3" t="s">
        <v>60</v>
      </c>
      <c r="D53" s="3" t="s">
        <v>99</v>
      </c>
      <c r="E53" s="3"/>
      <c r="F53" s="3">
        <v>0</v>
      </c>
      <c r="G53" s="3">
        <v>4294967294</v>
      </c>
      <c r="H53" s="3"/>
      <c r="I53" s="3" t="s">
        <v>100</v>
      </c>
      <c r="J53" s="1" t="s">
        <v>479</v>
      </c>
      <c r="K53" s="18"/>
      <c r="L53" s="1"/>
      <c r="M53" s="1"/>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c r="ZD53" s="3"/>
      <c r="ZE53" s="3"/>
      <c r="ZF53" s="3"/>
      <c r="ZG53" s="3"/>
      <c r="ZH53" s="3"/>
      <c r="ZI53" s="3"/>
      <c r="ZJ53" s="3"/>
      <c r="ZK53" s="3"/>
      <c r="ZL53" s="3"/>
      <c r="ZM53" s="3"/>
      <c r="ZN53" s="3"/>
      <c r="ZO53" s="3"/>
      <c r="ZP53" s="3"/>
      <c r="ZQ53" s="3"/>
      <c r="ZR53" s="3"/>
      <c r="ZS53" s="3"/>
      <c r="ZT53" s="3"/>
      <c r="ZU53" s="3"/>
      <c r="ZV53" s="3"/>
      <c r="ZW53" s="3"/>
      <c r="ZX53" s="3"/>
      <c r="ZY53" s="3"/>
      <c r="ZZ53" s="3"/>
      <c r="AAA53" s="3"/>
      <c r="AAB53" s="3"/>
      <c r="AAC53" s="3"/>
      <c r="AAD53" s="3"/>
      <c r="AAE53" s="3"/>
      <c r="AAF53" s="3"/>
      <c r="AAG53" s="3"/>
      <c r="AAH53" s="3"/>
      <c r="AAI53" s="3"/>
      <c r="AAJ53" s="3"/>
      <c r="AAK53" s="3"/>
      <c r="AAL53" s="3"/>
      <c r="AAM53" s="3"/>
      <c r="AAN53" s="3"/>
      <c r="AAO53" s="3"/>
      <c r="AAP53" s="3"/>
      <c r="AAQ53" s="3"/>
      <c r="AAR53" s="3"/>
      <c r="AAS53" s="3"/>
      <c r="AAT53" s="3"/>
      <c r="AAU53" s="3"/>
      <c r="AAV53" s="3"/>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3"/>
      <c r="ADL53" s="3"/>
      <c r="ADM53" s="3"/>
      <c r="ADN53" s="3"/>
      <c r="ADO53" s="3"/>
      <c r="ADP53" s="3"/>
      <c r="ADQ53" s="3"/>
      <c r="ADR53" s="3"/>
      <c r="ADS53" s="3"/>
      <c r="ADT53" s="3"/>
      <c r="ADU53" s="3"/>
      <c r="ADV53" s="3"/>
      <c r="ADW53" s="3"/>
      <c r="ADX53" s="3"/>
      <c r="ADY53" s="3"/>
      <c r="ADZ53" s="3"/>
      <c r="AEA53" s="3"/>
      <c r="AEB53" s="3"/>
      <c r="AEC53" s="3"/>
      <c r="AED53" s="3"/>
      <c r="AEE53" s="3"/>
      <c r="AEF53" s="3"/>
      <c r="AEG53" s="3"/>
      <c r="AEH53" s="3"/>
      <c r="AEI53" s="3"/>
      <c r="AEJ53" s="3"/>
      <c r="AEK53" s="3"/>
      <c r="AEL53" s="3"/>
      <c r="AEM53" s="3"/>
      <c r="AEN53" s="3"/>
      <c r="AEO53" s="3"/>
      <c r="AEP53" s="3"/>
      <c r="AEQ53" s="3"/>
      <c r="AER53" s="3"/>
      <c r="AES53" s="3"/>
      <c r="AET53" s="3"/>
      <c r="AEU53" s="3"/>
      <c r="AEV53" s="3"/>
      <c r="AEW53" s="3"/>
      <c r="AEX53" s="3"/>
      <c r="AEY53" s="3"/>
      <c r="AEZ53" s="3"/>
      <c r="AFA53" s="3"/>
      <c r="AFB53" s="3"/>
      <c r="AFC53" s="3"/>
      <c r="AFD53" s="3"/>
      <c r="AFE53" s="3"/>
      <c r="AFF53" s="3"/>
      <c r="AFG53" s="3"/>
      <c r="AFH53" s="3"/>
      <c r="AFI53" s="3"/>
      <c r="AFJ53" s="3"/>
      <c r="AFK53" s="3"/>
      <c r="AFL53" s="3"/>
      <c r="AFM53" s="3"/>
      <c r="AFN53" s="3"/>
      <c r="AFO53" s="3"/>
      <c r="AFP53" s="3"/>
      <c r="AFQ53" s="3"/>
      <c r="AFR53" s="3"/>
      <c r="AFS53" s="3"/>
      <c r="AFT53" s="3"/>
      <c r="AFU53" s="3"/>
      <c r="AFV53" s="3"/>
      <c r="AFW53" s="3"/>
      <c r="AFX53" s="3"/>
      <c r="AFY53" s="3"/>
      <c r="AFZ53" s="3"/>
      <c r="AGA53" s="3"/>
      <c r="AGB53" s="3"/>
      <c r="AGC53" s="3"/>
      <c r="AGD53" s="3"/>
      <c r="AGE53" s="3"/>
      <c r="AGF53" s="3"/>
      <c r="AGG53" s="3"/>
      <c r="AGH53" s="3"/>
      <c r="AGI53" s="3"/>
      <c r="AGJ53" s="3"/>
      <c r="AGK53" s="3"/>
      <c r="AGL53" s="3"/>
      <c r="AGM53" s="3"/>
      <c r="AGN53" s="3"/>
      <c r="AGO53" s="3"/>
      <c r="AGP53" s="3"/>
      <c r="AGQ53" s="3"/>
      <c r="AGR53" s="3"/>
      <c r="AGS53" s="3"/>
      <c r="AGT53" s="3"/>
      <c r="AGU53" s="3"/>
      <c r="AGV53" s="3"/>
      <c r="AGW53" s="3"/>
      <c r="AGX53" s="3"/>
      <c r="AGY53" s="3"/>
      <c r="AGZ53" s="3"/>
      <c r="AHA53" s="3"/>
      <c r="AHB53" s="3"/>
      <c r="AHC53" s="3"/>
      <c r="AHD53" s="3"/>
      <c r="AHE53" s="3"/>
      <c r="AHF53" s="3"/>
      <c r="AHG53" s="3"/>
      <c r="AHH53" s="3"/>
      <c r="AHI53" s="3"/>
      <c r="AHJ53" s="3"/>
      <c r="AHK53" s="3"/>
      <c r="AHL53" s="3"/>
      <c r="AHM53" s="3"/>
      <c r="AHN53" s="3"/>
      <c r="AHO53" s="3"/>
      <c r="AHP53" s="3"/>
      <c r="AHQ53" s="3"/>
      <c r="AHR53" s="3"/>
      <c r="AHS53" s="3"/>
      <c r="AHT53" s="3"/>
      <c r="AHU53" s="3"/>
      <c r="AHV53" s="3"/>
      <c r="AHW53" s="3"/>
      <c r="AHX53" s="3"/>
      <c r="AHY53" s="3"/>
      <c r="AHZ53" s="3"/>
      <c r="AIA53" s="3"/>
      <c r="AIB53" s="3"/>
      <c r="AIC53" s="3"/>
      <c r="AID53" s="3"/>
      <c r="AIE53" s="3"/>
      <c r="AIF53" s="3"/>
      <c r="AIG53" s="3"/>
      <c r="AIH53" s="3"/>
      <c r="AII53" s="3"/>
      <c r="AIJ53" s="3"/>
      <c r="AIK53" s="3"/>
      <c r="AIL53" s="3"/>
      <c r="AIM53" s="3"/>
      <c r="AIN53" s="3"/>
      <c r="AIO53" s="3"/>
      <c r="AIP53" s="3"/>
      <c r="AIQ53" s="3"/>
      <c r="AIR53" s="3"/>
      <c r="AIS53" s="3"/>
      <c r="AIT53" s="3"/>
      <c r="AIU53" s="3"/>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3"/>
      <c r="AKW53" s="3"/>
      <c r="AKX53" s="3"/>
      <c r="AKY53" s="3"/>
      <c r="AKZ53" s="3"/>
      <c r="ALA53" s="3"/>
      <c r="ALB53" s="3"/>
      <c r="ALC53" s="3"/>
      <c r="ALD53" s="3"/>
      <c r="ALE53" s="3"/>
      <c r="ALF53" s="3"/>
      <c r="ALG53" s="3"/>
      <c r="ALH53" s="3"/>
      <c r="ALI53" s="3"/>
      <c r="ALJ53" s="3"/>
      <c r="ALK53" s="3"/>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row>
    <row r="54" spans="1:1025" x14ac:dyDescent="0.25">
      <c r="A54" s="15" t="s">
        <v>328</v>
      </c>
      <c r="B54" s="3">
        <v>80</v>
      </c>
      <c r="C54" s="3" t="s">
        <v>63</v>
      </c>
      <c r="D54" s="3" t="s">
        <v>99</v>
      </c>
      <c r="E54" s="3"/>
      <c r="F54" s="3">
        <v>0</v>
      </c>
      <c r="G54" s="3">
        <v>4294967294</v>
      </c>
      <c r="H54" s="3"/>
      <c r="I54" s="3" t="s">
        <v>100</v>
      </c>
      <c r="J54" s="1" t="s">
        <v>479</v>
      </c>
      <c r="K54" s="18"/>
      <c r="L54" s="1"/>
      <c r="M54" s="1"/>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c r="SG54" s="3"/>
      <c r="SH54" s="3"/>
      <c r="SI54" s="3"/>
      <c r="SJ54" s="3"/>
      <c r="SK54" s="3"/>
      <c r="SL54" s="3"/>
      <c r="SM54" s="3"/>
      <c r="SN54" s="3"/>
      <c r="SO54" s="3"/>
      <c r="SP54" s="3"/>
      <c r="SQ54" s="3"/>
      <c r="SR54" s="3"/>
      <c r="SS54" s="3"/>
      <c r="ST54" s="3"/>
      <c r="SU54" s="3"/>
      <c r="SV54" s="3"/>
      <c r="SW54" s="3"/>
      <c r="SX54" s="3"/>
      <c r="SY54" s="3"/>
      <c r="SZ54" s="3"/>
      <c r="TA54" s="3"/>
      <c r="TB54" s="3"/>
      <c r="TC54" s="3"/>
      <c r="TD54" s="3"/>
      <c r="TE54" s="3"/>
      <c r="TF54" s="3"/>
      <c r="TG54" s="3"/>
      <c r="TH54" s="3"/>
      <c r="TI54" s="3"/>
      <c r="TJ54" s="3"/>
      <c r="TK54" s="3"/>
      <c r="TL54" s="3"/>
      <c r="TM54" s="3"/>
      <c r="TN54" s="3"/>
      <c r="TO54" s="3"/>
      <c r="TP54" s="3"/>
      <c r="TQ54" s="3"/>
      <c r="TR54" s="3"/>
      <c r="TS54" s="3"/>
      <c r="TT54" s="3"/>
      <c r="TU54" s="3"/>
      <c r="TV54" s="3"/>
      <c r="TW54" s="3"/>
      <c r="TX54" s="3"/>
      <c r="TY54" s="3"/>
      <c r="TZ54" s="3"/>
      <c r="UA54" s="3"/>
      <c r="UB54" s="3"/>
      <c r="UC54" s="3"/>
      <c r="UD54" s="3"/>
      <c r="UE54" s="3"/>
      <c r="UF54" s="3"/>
      <c r="UG54" s="3"/>
      <c r="UH54" s="3"/>
      <c r="UI54" s="3"/>
      <c r="UJ54" s="3"/>
      <c r="UK54" s="3"/>
      <c r="UL54" s="3"/>
      <c r="UM54" s="3"/>
      <c r="UN54" s="3"/>
      <c r="UO54" s="3"/>
      <c r="UP54" s="3"/>
      <c r="UQ54" s="3"/>
      <c r="UR54" s="3"/>
      <c r="US54" s="3"/>
      <c r="UT54" s="3"/>
      <c r="UU54" s="3"/>
      <c r="UV54" s="3"/>
      <c r="UW54" s="3"/>
      <c r="UX54" s="3"/>
      <c r="UY54" s="3"/>
      <c r="UZ54" s="3"/>
      <c r="VA54" s="3"/>
      <c r="VB54" s="3"/>
      <c r="VC54" s="3"/>
      <c r="VD54" s="3"/>
      <c r="VE54" s="3"/>
      <c r="VF54" s="3"/>
      <c r="VG54" s="3"/>
      <c r="VH54" s="3"/>
      <c r="VI54" s="3"/>
      <c r="VJ54" s="3"/>
      <c r="VK54" s="3"/>
      <c r="VL54" s="3"/>
      <c r="VM54" s="3"/>
      <c r="VN54" s="3"/>
      <c r="VO54" s="3"/>
      <c r="VP54" s="3"/>
      <c r="VQ54" s="3"/>
      <c r="VR54" s="3"/>
      <c r="VS54" s="3"/>
      <c r="VT54" s="3"/>
      <c r="VU54" s="3"/>
      <c r="VV54" s="3"/>
      <c r="VW54" s="3"/>
      <c r="VX54" s="3"/>
      <c r="VY54" s="3"/>
      <c r="VZ54" s="3"/>
      <c r="WA54" s="3"/>
      <c r="WB54" s="3"/>
      <c r="WC54" s="3"/>
      <c r="WD54" s="3"/>
      <c r="WE54" s="3"/>
      <c r="WF54" s="3"/>
      <c r="WG54" s="3"/>
      <c r="WH54" s="3"/>
      <c r="WI54" s="3"/>
      <c r="WJ54" s="3"/>
      <c r="WK54" s="3"/>
      <c r="WL54" s="3"/>
      <c r="WM54" s="3"/>
      <c r="WN54" s="3"/>
      <c r="WO54" s="3"/>
      <c r="WP54" s="3"/>
      <c r="WQ54" s="3"/>
      <c r="WR54" s="3"/>
      <c r="WS54" s="3"/>
      <c r="WT54" s="3"/>
      <c r="WU54" s="3"/>
      <c r="WV54" s="3"/>
      <c r="WW54" s="3"/>
      <c r="WX54" s="3"/>
      <c r="WY54" s="3"/>
      <c r="WZ54" s="3"/>
      <c r="XA54" s="3"/>
      <c r="XB54" s="3"/>
      <c r="XC54" s="3"/>
      <c r="XD54" s="3"/>
      <c r="XE54" s="3"/>
      <c r="XF54" s="3"/>
      <c r="XG54" s="3"/>
      <c r="XH54" s="3"/>
      <c r="XI54" s="3"/>
      <c r="XJ54" s="3"/>
      <c r="XK54" s="3"/>
      <c r="XL54" s="3"/>
      <c r="XM54" s="3"/>
      <c r="XN54" s="3"/>
      <c r="XO54" s="3"/>
      <c r="XP54" s="3"/>
      <c r="XQ54" s="3"/>
      <c r="XR54" s="3"/>
      <c r="XS54" s="3"/>
      <c r="XT54" s="3"/>
      <c r="XU54" s="3"/>
      <c r="XV54" s="3"/>
      <c r="XW54" s="3"/>
      <c r="XX54" s="3"/>
      <c r="XY54" s="3"/>
      <c r="XZ54" s="3"/>
      <c r="YA54" s="3"/>
      <c r="YB54" s="3"/>
      <c r="YC54" s="3"/>
      <c r="YD54" s="3"/>
      <c r="YE54" s="3"/>
      <c r="YF54" s="3"/>
      <c r="YG54" s="3"/>
      <c r="YH54" s="3"/>
      <c r="YI54" s="3"/>
      <c r="YJ54" s="3"/>
      <c r="YK54" s="3"/>
      <c r="YL54" s="3"/>
      <c r="YM54" s="3"/>
      <c r="YN54" s="3"/>
      <c r="YO54" s="3"/>
      <c r="YP54" s="3"/>
      <c r="YQ54" s="3"/>
      <c r="YR54" s="3"/>
      <c r="YS54" s="3"/>
      <c r="YT54" s="3"/>
      <c r="YU54" s="3"/>
      <c r="YV54" s="3"/>
      <c r="YW54" s="3"/>
      <c r="YX54" s="3"/>
      <c r="YY54" s="3"/>
      <c r="YZ54" s="3"/>
      <c r="ZA54" s="3"/>
      <c r="ZB54" s="3"/>
      <c r="ZC54" s="3"/>
      <c r="ZD54" s="3"/>
      <c r="ZE54" s="3"/>
      <c r="ZF54" s="3"/>
      <c r="ZG54" s="3"/>
      <c r="ZH54" s="3"/>
      <c r="ZI54" s="3"/>
      <c r="ZJ54" s="3"/>
      <c r="ZK54" s="3"/>
      <c r="ZL54" s="3"/>
      <c r="ZM54" s="3"/>
      <c r="ZN54" s="3"/>
      <c r="ZO54" s="3"/>
      <c r="ZP54" s="3"/>
      <c r="ZQ54" s="3"/>
      <c r="ZR54" s="3"/>
      <c r="ZS54" s="3"/>
      <c r="ZT54" s="3"/>
      <c r="ZU54" s="3"/>
      <c r="ZV54" s="3"/>
      <c r="ZW54" s="3"/>
      <c r="ZX54" s="3"/>
      <c r="ZY54" s="3"/>
      <c r="ZZ54" s="3"/>
      <c r="AAA54" s="3"/>
      <c r="AAB54" s="3"/>
      <c r="AAC54" s="3"/>
      <c r="AAD54" s="3"/>
      <c r="AAE54" s="3"/>
      <c r="AAF54" s="3"/>
      <c r="AAG54" s="3"/>
      <c r="AAH54" s="3"/>
      <c r="AAI54" s="3"/>
      <c r="AAJ54" s="3"/>
      <c r="AAK54" s="3"/>
      <c r="AAL54" s="3"/>
      <c r="AAM54" s="3"/>
      <c r="AAN54" s="3"/>
      <c r="AAO54" s="3"/>
      <c r="AAP54" s="3"/>
      <c r="AAQ54" s="3"/>
      <c r="AAR54" s="3"/>
      <c r="AAS54" s="3"/>
      <c r="AAT54" s="3"/>
      <c r="AAU54" s="3"/>
      <c r="AAV54" s="3"/>
      <c r="AAW54" s="3"/>
      <c r="AAX54" s="3"/>
      <c r="AAY54" s="3"/>
      <c r="AAZ54" s="3"/>
      <c r="ABA54" s="3"/>
      <c r="ABB54" s="3"/>
      <c r="ABC54" s="3"/>
      <c r="ABD54" s="3"/>
      <c r="ABE54" s="3"/>
      <c r="ABF54" s="3"/>
      <c r="ABG54" s="3"/>
      <c r="ABH54" s="3"/>
      <c r="ABI54" s="3"/>
      <c r="ABJ54" s="3"/>
      <c r="ABK54" s="3"/>
      <c r="ABL54" s="3"/>
      <c r="ABM54" s="3"/>
      <c r="ABN54" s="3"/>
      <c r="ABO54" s="3"/>
      <c r="ABP54" s="3"/>
      <c r="ABQ54" s="3"/>
      <c r="ABR54" s="3"/>
      <c r="ABS54" s="3"/>
      <c r="ABT54" s="3"/>
      <c r="ABU54" s="3"/>
      <c r="ABV54" s="3"/>
      <c r="ABW54" s="3"/>
      <c r="ABX54" s="3"/>
      <c r="ABY54" s="3"/>
      <c r="ABZ54" s="3"/>
      <c r="ACA54" s="3"/>
      <c r="ACB54" s="3"/>
      <c r="ACC54" s="3"/>
      <c r="ACD54" s="3"/>
      <c r="ACE54" s="3"/>
      <c r="ACF54" s="3"/>
      <c r="ACG54" s="3"/>
      <c r="ACH54" s="3"/>
      <c r="ACI54" s="3"/>
      <c r="ACJ54" s="3"/>
      <c r="ACK54" s="3"/>
      <c r="ACL54" s="3"/>
      <c r="ACM54" s="3"/>
      <c r="ACN54" s="3"/>
      <c r="ACO54" s="3"/>
      <c r="ACP54" s="3"/>
      <c r="ACQ54" s="3"/>
      <c r="ACR54" s="3"/>
      <c r="ACS54" s="3"/>
      <c r="ACT54" s="3"/>
      <c r="ACU54" s="3"/>
      <c r="ACV54" s="3"/>
      <c r="ACW54" s="3"/>
      <c r="ACX54" s="3"/>
      <c r="ACY54" s="3"/>
      <c r="ACZ54" s="3"/>
      <c r="ADA54" s="3"/>
      <c r="ADB54" s="3"/>
      <c r="ADC54" s="3"/>
      <c r="ADD54" s="3"/>
      <c r="ADE54" s="3"/>
      <c r="ADF54" s="3"/>
      <c r="ADG54" s="3"/>
      <c r="ADH54" s="3"/>
      <c r="ADI54" s="3"/>
      <c r="ADJ54" s="3"/>
      <c r="ADK54" s="3"/>
      <c r="ADL54" s="3"/>
      <c r="ADM54" s="3"/>
      <c r="ADN54" s="3"/>
      <c r="ADO54" s="3"/>
      <c r="ADP54" s="3"/>
      <c r="ADQ54" s="3"/>
      <c r="ADR54" s="3"/>
      <c r="ADS54" s="3"/>
      <c r="ADT54" s="3"/>
      <c r="ADU54" s="3"/>
      <c r="ADV54" s="3"/>
      <c r="ADW54" s="3"/>
      <c r="ADX54" s="3"/>
      <c r="ADY54" s="3"/>
      <c r="ADZ54" s="3"/>
      <c r="AEA54" s="3"/>
      <c r="AEB54" s="3"/>
      <c r="AEC54" s="3"/>
      <c r="AED54" s="3"/>
      <c r="AEE54" s="3"/>
      <c r="AEF54" s="3"/>
      <c r="AEG54" s="3"/>
      <c r="AEH54" s="3"/>
      <c r="AEI54" s="3"/>
      <c r="AEJ54" s="3"/>
      <c r="AEK54" s="3"/>
      <c r="AEL54" s="3"/>
      <c r="AEM54" s="3"/>
      <c r="AEN54" s="3"/>
      <c r="AEO54" s="3"/>
      <c r="AEP54" s="3"/>
      <c r="AEQ54" s="3"/>
      <c r="AER54" s="3"/>
      <c r="AES54" s="3"/>
      <c r="AET54" s="3"/>
      <c r="AEU54" s="3"/>
      <c r="AEV54" s="3"/>
      <c r="AEW54" s="3"/>
      <c r="AEX54" s="3"/>
      <c r="AEY54" s="3"/>
      <c r="AEZ54" s="3"/>
      <c r="AFA54" s="3"/>
      <c r="AFB54" s="3"/>
      <c r="AFC54" s="3"/>
      <c r="AFD54" s="3"/>
      <c r="AFE54" s="3"/>
      <c r="AFF54" s="3"/>
      <c r="AFG54" s="3"/>
      <c r="AFH54" s="3"/>
      <c r="AFI54" s="3"/>
      <c r="AFJ54" s="3"/>
      <c r="AFK54" s="3"/>
      <c r="AFL54" s="3"/>
      <c r="AFM54" s="3"/>
      <c r="AFN54" s="3"/>
      <c r="AFO54" s="3"/>
      <c r="AFP54" s="3"/>
      <c r="AFQ54" s="3"/>
      <c r="AFR54" s="3"/>
      <c r="AFS54" s="3"/>
      <c r="AFT54" s="3"/>
      <c r="AFU54" s="3"/>
      <c r="AFV54" s="3"/>
      <c r="AFW54" s="3"/>
      <c r="AFX54" s="3"/>
      <c r="AFY54" s="3"/>
      <c r="AFZ54" s="3"/>
      <c r="AGA54" s="3"/>
      <c r="AGB54" s="3"/>
      <c r="AGC54" s="3"/>
      <c r="AGD54" s="3"/>
      <c r="AGE54" s="3"/>
      <c r="AGF54" s="3"/>
      <c r="AGG54" s="3"/>
      <c r="AGH54" s="3"/>
      <c r="AGI54" s="3"/>
      <c r="AGJ54" s="3"/>
      <c r="AGK54" s="3"/>
      <c r="AGL54" s="3"/>
      <c r="AGM54" s="3"/>
      <c r="AGN54" s="3"/>
      <c r="AGO54" s="3"/>
      <c r="AGP54" s="3"/>
      <c r="AGQ54" s="3"/>
      <c r="AGR54" s="3"/>
      <c r="AGS54" s="3"/>
      <c r="AGT54" s="3"/>
      <c r="AGU54" s="3"/>
      <c r="AGV54" s="3"/>
      <c r="AGW54" s="3"/>
      <c r="AGX54" s="3"/>
      <c r="AGY54" s="3"/>
      <c r="AGZ54" s="3"/>
      <c r="AHA54" s="3"/>
      <c r="AHB54" s="3"/>
      <c r="AHC54" s="3"/>
      <c r="AHD54" s="3"/>
      <c r="AHE54" s="3"/>
      <c r="AHF54" s="3"/>
      <c r="AHG54" s="3"/>
      <c r="AHH54" s="3"/>
      <c r="AHI54" s="3"/>
      <c r="AHJ54" s="3"/>
      <c r="AHK54" s="3"/>
      <c r="AHL54" s="3"/>
      <c r="AHM54" s="3"/>
      <c r="AHN54" s="3"/>
      <c r="AHO54" s="3"/>
      <c r="AHP54" s="3"/>
      <c r="AHQ54" s="3"/>
      <c r="AHR54" s="3"/>
      <c r="AHS54" s="3"/>
      <c r="AHT54" s="3"/>
      <c r="AHU54" s="3"/>
      <c r="AHV54" s="3"/>
      <c r="AHW54" s="3"/>
      <c r="AHX54" s="3"/>
      <c r="AHY54" s="3"/>
      <c r="AHZ54" s="3"/>
      <c r="AIA54" s="3"/>
      <c r="AIB54" s="3"/>
      <c r="AIC54" s="3"/>
      <c r="AID54" s="3"/>
      <c r="AIE54" s="3"/>
      <c r="AIF54" s="3"/>
      <c r="AIG54" s="3"/>
      <c r="AIH54" s="3"/>
      <c r="AII54" s="3"/>
      <c r="AIJ54" s="3"/>
      <c r="AIK54" s="3"/>
      <c r="AIL54" s="3"/>
      <c r="AIM54" s="3"/>
      <c r="AIN54" s="3"/>
      <c r="AIO54" s="3"/>
      <c r="AIP54" s="3"/>
      <c r="AIQ54" s="3"/>
      <c r="AIR54" s="3"/>
      <c r="AIS54" s="3"/>
      <c r="AIT54" s="3"/>
      <c r="AIU54" s="3"/>
      <c r="AIV54" s="3"/>
      <c r="AIW54" s="3"/>
      <c r="AIX54" s="3"/>
      <c r="AIY54" s="3"/>
      <c r="AIZ54" s="3"/>
      <c r="AJA54" s="3"/>
      <c r="AJB54" s="3"/>
      <c r="AJC54" s="3"/>
      <c r="AJD54" s="3"/>
      <c r="AJE54" s="3"/>
      <c r="AJF54" s="3"/>
      <c r="AJG54" s="3"/>
      <c r="AJH54" s="3"/>
      <c r="AJI54" s="3"/>
      <c r="AJJ54" s="3"/>
      <c r="AJK54" s="3"/>
      <c r="AJL54" s="3"/>
      <c r="AJM54" s="3"/>
      <c r="AJN54" s="3"/>
      <c r="AJO54" s="3"/>
      <c r="AJP54" s="3"/>
      <c r="AJQ54" s="3"/>
      <c r="AJR54" s="3"/>
      <c r="AJS54" s="3"/>
      <c r="AJT54" s="3"/>
      <c r="AJU54" s="3"/>
      <c r="AJV54" s="3"/>
      <c r="AJW54" s="3"/>
      <c r="AJX54" s="3"/>
      <c r="AJY54" s="3"/>
      <c r="AJZ54" s="3"/>
      <c r="AKA54" s="3"/>
      <c r="AKB54" s="3"/>
      <c r="AKC54" s="3"/>
      <c r="AKD54" s="3"/>
      <c r="AKE54" s="3"/>
      <c r="AKF54" s="3"/>
      <c r="AKG54" s="3"/>
      <c r="AKH54" s="3"/>
      <c r="AKI54" s="3"/>
      <c r="AKJ54" s="3"/>
      <c r="AKK54" s="3"/>
      <c r="AKL54" s="3"/>
      <c r="AKM54" s="3"/>
      <c r="AKN54" s="3"/>
      <c r="AKO54" s="3"/>
      <c r="AKP54" s="3"/>
      <c r="AKQ54" s="3"/>
      <c r="AKR54" s="3"/>
      <c r="AKS54" s="3"/>
      <c r="AKT54" s="3"/>
      <c r="AKU54" s="3"/>
      <c r="AKV54" s="3"/>
      <c r="AKW54" s="3"/>
      <c r="AKX54" s="3"/>
      <c r="AKY54" s="3"/>
      <c r="AKZ54" s="3"/>
      <c r="ALA54" s="3"/>
      <c r="ALB54" s="3"/>
      <c r="ALC54" s="3"/>
      <c r="ALD54" s="3"/>
      <c r="ALE54" s="3"/>
      <c r="ALF54" s="3"/>
      <c r="ALG54" s="3"/>
      <c r="ALH54" s="3"/>
      <c r="ALI54" s="3"/>
      <c r="ALJ54" s="3"/>
      <c r="ALK54" s="3"/>
      <c r="ALL54" s="3"/>
      <c r="ALM54" s="3"/>
      <c r="ALN54" s="3"/>
      <c r="ALO54" s="3"/>
      <c r="ALP54" s="3"/>
      <c r="ALQ54" s="3"/>
      <c r="ALR54" s="3"/>
      <c r="ALS54" s="3"/>
      <c r="ALT54" s="3"/>
      <c r="ALU54" s="3"/>
      <c r="ALV54" s="3"/>
      <c r="ALW54" s="3"/>
      <c r="ALX54" s="3"/>
      <c r="ALY54" s="3"/>
      <c r="ALZ54" s="3"/>
      <c r="AMA54" s="3"/>
      <c r="AMB54" s="3"/>
      <c r="AMC54" s="3"/>
      <c r="AMD54" s="3"/>
      <c r="AME54" s="3"/>
      <c r="AMF54" s="3"/>
      <c r="AMG54" s="3"/>
      <c r="AMH54" s="3"/>
      <c r="AMI54" s="3"/>
      <c r="AMJ54" s="3"/>
      <c r="AMK54" s="3"/>
    </row>
    <row r="55" spans="1:1025" x14ac:dyDescent="0.25">
      <c r="A55" s="15" t="s">
        <v>329</v>
      </c>
      <c r="B55" s="3">
        <v>80</v>
      </c>
      <c r="C55" s="3" t="s">
        <v>65</v>
      </c>
      <c r="D55" s="3" t="s">
        <v>99</v>
      </c>
      <c r="E55" s="3"/>
      <c r="F55" s="3">
        <v>0</v>
      </c>
      <c r="G55" s="3">
        <v>4294967294</v>
      </c>
      <c r="H55" s="3"/>
      <c r="I55" s="3" t="s">
        <v>100</v>
      </c>
      <c r="K55" s="18"/>
      <c r="L55" s="1"/>
      <c r="M55" s="1"/>
    </row>
    <row r="56" spans="1:1025" x14ac:dyDescent="0.25">
      <c r="A56" s="15" t="s">
        <v>330</v>
      </c>
      <c r="B56" s="3">
        <v>80</v>
      </c>
      <c r="C56" s="3">
        <v>10</v>
      </c>
      <c r="D56" s="3" t="s">
        <v>99</v>
      </c>
      <c r="E56" s="3"/>
      <c r="F56" s="3">
        <v>0</v>
      </c>
      <c r="G56" s="3">
        <v>4294967294</v>
      </c>
      <c r="H56" s="3"/>
      <c r="I56" s="3" t="s">
        <v>100</v>
      </c>
      <c r="K56" s="18"/>
    </row>
    <row r="57" spans="1:1025" x14ac:dyDescent="0.25">
      <c r="A57" s="15" t="s">
        <v>331</v>
      </c>
      <c r="B57" s="3">
        <v>80</v>
      </c>
      <c r="C57" s="3">
        <v>11</v>
      </c>
      <c r="D57" s="3" t="s">
        <v>147</v>
      </c>
      <c r="E57" s="3"/>
      <c r="F57" s="3">
        <v>-800</v>
      </c>
      <c r="G57" s="3">
        <v>800</v>
      </c>
      <c r="H57" s="3" t="s">
        <v>317</v>
      </c>
      <c r="I57" s="3" t="s">
        <v>93</v>
      </c>
      <c r="K57" s="3"/>
      <c r="L57" s="1"/>
      <c r="M57" s="1"/>
      <c r="N57" s="1"/>
      <c r="O57" s="1"/>
      <c r="P57" s="1"/>
      <c r="Q57" s="1"/>
      <c r="R57" s="1"/>
      <c r="S57" s="1"/>
    </row>
    <row r="58" spans="1:1025" x14ac:dyDescent="0.25">
      <c r="A58" s="15" t="s">
        <v>332</v>
      </c>
      <c r="B58" s="3">
        <v>80</v>
      </c>
      <c r="C58" s="3">
        <v>12</v>
      </c>
      <c r="D58" s="3" t="s">
        <v>147</v>
      </c>
      <c r="E58" s="3"/>
      <c r="F58" s="3">
        <v>-800</v>
      </c>
      <c r="G58" s="3">
        <v>800</v>
      </c>
      <c r="H58" s="3" t="s">
        <v>317</v>
      </c>
      <c r="I58" s="3" t="s">
        <v>93</v>
      </c>
      <c r="K58" s="3"/>
      <c r="L58" s="1"/>
      <c r="M58" s="1"/>
      <c r="N58" s="1"/>
      <c r="O58" s="1"/>
      <c r="P58" s="1"/>
      <c r="Q58" s="1"/>
      <c r="R58" s="1"/>
      <c r="S58" s="1"/>
    </row>
    <row r="59" spans="1:1025" x14ac:dyDescent="0.25">
      <c r="A59" s="15" t="s">
        <v>333</v>
      </c>
      <c r="B59" s="3">
        <v>80</v>
      </c>
      <c r="C59" s="3">
        <v>13</v>
      </c>
      <c r="D59" s="3" t="s">
        <v>147</v>
      </c>
      <c r="E59" s="3"/>
      <c r="F59" s="3">
        <v>-800</v>
      </c>
      <c r="G59" s="3">
        <v>800</v>
      </c>
      <c r="H59" s="3" t="s">
        <v>317</v>
      </c>
      <c r="I59" s="3" t="s">
        <v>93</v>
      </c>
      <c r="K59" s="3"/>
      <c r="L59" s="1"/>
      <c r="M59" s="1"/>
      <c r="N59" s="1"/>
      <c r="O59" s="1"/>
      <c r="P59" s="1"/>
      <c r="Q59" s="1"/>
      <c r="R59" s="1"/>
      <c r="S59" s="1"/>
    </row>
    <row r="60" spans="1:1025" x14ac:dyDescent="0.25">
      <c r="A60" s="15" t="s">
        <v>334</v>
      </c>
      <c r="B60" s="3">
        <v>80</v>
      </c>
      <c r="C60" s="3">
        <v>14</v>
      </c>
      <c r="D60" s="3" t="s">
        <v>147</v>
      </c>
      <c r="E60" s="3"/>
      <c r="F60" s="3">
        <v>-800</v>
      </c>
      <c r="G60" s="3">
        <v>800</v>
      </c>
      <c r="H60" s="3" t="s">
        <v>317</v>
      </c>
      <c r="I60" s="3" t="s">
        <v>93</v>
      </c>
      <c r="K60" s="3"/>
      <c r="L60" s="1"/>
      <c r="M60" s="1"/>
      <c r="N60" s="1"/>
      <c r="O60" s="1"/>
      <c r="P60" s="1"/>
      <c r="Q60" s="1"/>
      <c r="R60" s="1"/>
      <c r="S60" s="1"/>
    </row>
    <row r="61" spans="1:1025" x14ac:dyDescent="0.25">
      <c r="A61" s="15" t="s">
        <v>335</v>
      </c>
      <c r="B61" s="3">
        <v>80</v>
      </c>
      <c r="C61" s="3">
        <v>15</v>
      </c>
      <c r="D61" s="3" t="s">
        <v>147</v>
      </c>
      <c r="E61" s="3"/>
      <c r="F61" s="3">
        <v>-800</v>
      </c>
      <c r="G61" s="3">
        <v>800</v>
      </c>
      <c r="H61" s="3" t="s">
        <v>317</v>
      </c>
      <c r="I61" s="3" t="s">
        <v>93</v>
      </c>
      <c r="K61" s="3"/>
      <c r="L61" s="1"/>
      <c r="M61" s="1"/>
      <c r="N61" s="1"/>
      <c r="O61" s="1"/>
      <c r="P61" s="1"/>
      <c r="Q61" s="1"/>
      <c r="R61" s="1"/>
      <c r="S61" s="1"/>
    </row>
    <row r="62" spans="1:1025" x14ac:dyDescent="0.25">
      <c r="A62" s="15" t="s">
        <v>336</v>
      </c>
      <c r="B62" s="3">
        <v>80</v>
      </c>
      <c r="C62" s="3">
        <v>16</v>
      </c>
      <c r="D62" s="3" t="s">
        <v>147</v>
      </c>
      <c r="E62" s="3"/>
      <c r="F62" s="3">
        <v>-800</v>
      </c>
      <c r="G62" s="3">
        <v>800</v>
      </c>
      <c r="H62" s="3" t="s">
        <v>317</v>
      </c>
      <c r="I62" s="3" t="s">
        <v>93</v>
      </c>
      <c r="K62" s="3"/>
      <c r="L62" s="1"/>
      <c r="M62" s="1"/>
      <c r="N62" s="1"/>
      <c r="O62" s="1"/>
      <c r="P62" s="1"/>
      <c r="Q62" s="1"/>
      <c r="R62" s="1"/>
      <c r="S62" s="1"/>
    </row>
    <row r="63" spans="1:1025" x14ac:dyDescent="0.25">
      <c r="A63" s="15" t="s">
        <v>337</v>
      </c>
      <c r="B63" s="3">
        <v>80</v>
      </c>
      <c r="C63" s="3">
        <v>17</v>
      </c>
      <c r="D63" s="3" t="s">
        <v>147</v>
      </c>
      <c r="E63" s="3"/>
      <c r="F63" s="3">
        <v>-800</v>
      </c>
      <c r="G63" s="3">
        <v>800</v>
      </c>
      <c r="H63" s="3" t="s">
        <v>317</v>
      </c>
      <c r="I63" s="3" t="s">
        <v>93</v>
      </c>
      <c r="K63" s="3"/>
      <c r="L63" s="1"/>
      <c r="M63" s="1"/>
      <c r="N63" s="1"/>
      <c r="O63" s="1"/>
      <c r="P63" s="1"/>
      <c r="Q63" s="1"/>
      <c r="R63" s="1"/>
      <c r="S63" s="1"/>
    </row>
    <row r="64" spans="1:1025" x14ac:dyDescent="0.25">
      <c r="A64" s="15" t="s">
        <v>338</v>
      </c>
      <c r="B64" s="3">
        <v>80</v>
      </c>
      <c r="C64" s="3">
        <v>18</v>
      </c>
      <c r="D64" s="3" t="s">
        <v>147</v>
      </c>
      <c r="E64" s="3"/>
      <c r="F64" s="3">
        <v>-800</v>
      </c>
      <c r="G64" s="3">
        <v>800</v>
      </c>
      <c r="H64" s="3" t="s">
        <v>317</v>
      </c>
      <c r="I64" s="3" t="s">
        <v>93</v>
      </c>
      <c r="K64" s="3"/>
      <c r="L64" s="1"/>
      <c r="M64" s="1"/>
      <c r="N64" s="1"/>
      <c r="O64" s="1"/>
      <c r="P64" s="1"/>
      <c r="Q64" s="1"/>
      <c r="R64" s="1"/>
      <c r="S64" s="1"/>
    </row>
    <row r="65" spans="1:20" ht="45" x14ac:dyDescent="0.25">
      <c r="A65" s="15" t="s">
        <v>339</v>
      </c>
      <c r="B65" s="3">
        <v>80</v>
      </c>
      <c r="C65" s="3">
        <v>19</v>
      </c>
      <c r="D65" s="3" t="s">
        <v>137</v>
      </c>
      <c r="E65" s="3"/>
      <c r="F65" s="3">
        <v>0</v>
      </c>
      <c r="G65" s="3">
        <v>7</v>
      </c>
      <c r="H65" s="3"/>
      <c r="I65" s="3" t="s">
        <v>100</v>
      </c>
      <c r="K65" s="8" t="s">
        <v>340</v>
      </c>
    </row>
    <row r="66" spans="1:20" ht="90" x14ac:dyDescent="0.25">
      <c r="A66" s="76" t="s">
        <v>675</v>
      </c>
      <c r="B66" s="3">
        <v>80</v>
      </c>
      <c r="C66" s="3" t="s">
        <v>341</v>
      </c>
      <c r="D66" s="3" t="s">
        <v>143</v>
      </c>
      <c r="E66" s="3"/>
      <c r="F66" s="3">
        <v>0</v>
      </c>
      <c r="G66" s="3">
        <v>4</v>
      </c>
      <c r="H66" s="3"/>
      <c r="I66" s="3" t="s">
        <v>100</v>
      </c>
      <c r="J66" s="3"/>
      <c r="K66" s="87" t="s">
        <v>1009</v>
      </c>
      <c r="L66" s="1"/>
      <c r="M66" s="1" t="s">
        <v>145</v>
      </c>
      <c r="N66" s="1"/>
      <c r="O66" s="1"/>
      <c r="P66" s="1"/>
      <c r="Q66" s="1"/>
      <c r="R66" s="1"/>
      <c r="S66" s="1"/>
      <c r="T66" s="1"/>
    </row>
    <row r="67" spans="1:20" x14ac:dyDescent="0.25">
      <c r="A67" s="15" t="s">
        <v>1014</v>
      </c>
      <c r="B67" s="3">
        <v>80</v>
      </c>
      <c r="C67" s="3" t="s">
        <v>488</v>
      </c>
      <c r="D67" s="3" t="s">
        <v>137</v>
      </c>
      <c r="E67" s="3"/>
      <c r="F67" s="3">
        <v>0</v>
      </c>
      <c r="G67" s="3">
        <v>100</v>
      </c>
      <c r="H67" s="3" t="s">
        <v>639</v>
      </c>
      <c r="I67" s="3" t="s">
        <v>100</v>
      </c>
      <c r="K67" s="32"/>
      <c r="L67" s="1"/>
      <c r="M67" s="1"/>
      <c r="N67" s="1"/>
      <c r="O67" s="1"/>
      <c r="P67" s="1"/>
      <c r="Q67" s="1"/>
      <c r="R67" s="1"/>
      <c r="S67" s="1"/>
      <c r="T67" s="1"/>
    </row>
    <row r="68" spans="1:20" x14ac:dyDescent="0.25">
      <c r="A68" s="15" t="s">
        <v>678</v>
      </c>
      <c r="B68" s="3">
        <v>80</v>
      </c>
      <c r="C68" s="3" t="s">
        <v>489</v>
      </c>
      <c r="D68" s="3" t="s">
        <v>99</v>
      </c>
      <c r="F68" s="3" t="s">
        <v>679</v>
      </c>
      <c r="G68" t="s">
        <v>684</v>
      </c>
      <c r="H68" s="3" t="s">
        <v>317</v>
      </c>
      <c r="I68" s="3" t="s">
        <v>100</v>
      </c>
    </row>
    <row r="69" spans="1:20" x14ac:dyDescent="0.25">
      <c r="A69" s="15" t="s">
        <v>680</v>
      </c>
      <c r="B69" s="3">
        <v>80</v>
      </c>
      <c r="C69" s="3" t="s">
        <v>490</v>
      </c>
      <c r="D69" s="3" t="s">
        <v>99</v>
      </c>
      <c r="F69" s="3" t="s">
        <v>681</v>
      </c>
      <c r="G69" t="s">
        <v>685</v>
      </c>
      <c r="H69" s="3" t="s">
        <v>317</v>
      </c>
      <c r="I69" s="3" t="s">
        <v>100</v>
      </c>
    </row>
    <row r="70" spans="1:20" x14ac:dyDescent="0.25">
      <c r="A70" s="15" t="s">
        <v>682</v>
      </c>
      <c r="B70" s="3">
        <v>80</v>
      </c>
      <c r="C70" s="3" t="s">
        <v>688</v>
      </c>
      <c r="D70" s="3" t="s">
        <v>99</v>
      </c>
      <c r="F70" s="3" t="s">
        <v>683</v>
      </c>
      <c r="G70" t="s">
        <v>679</v>
      </c>
      <c r="H70" s="3" t="s">
        <v>317</v>
      </c>
      <c r="I70" s="3" t="s">
        <v>100</v>
      </c>
    </row>
    <row r="71" spans="1:20" ht="75" x14ac:dyDescent="0.25">
      <c r="A71" s="50" t="s">
        <v>142</v>
      </c>
      <c r="B71" s="3"/>
      <c r="C71" s="3"/>
      <c r="D71" s="3" t="s">
        <v>143</v>
      </c>
      <c r="E71" s="3"/>
      <c r="F71" s="3">
        <v>0</v>
      </c>
      <c r="G71" s="3">
        <v>4</v>
      </c>
      <c r="H71" s="3"/>
      <c r="I71" s="3" t="s">
        <v>100</v>
      </c>
      <c r="J71" s="3"/>
      <c r="K71" s="87" t="s">
        <v>1010</v>
      </c>
      <c r="L71" s="1"/>
      <c r="M71" s="1" t="s">
        <v>145</v>
      </c>
      <c r="N71" s="1"/>
      <c r="O71" s="1"/>
      <c r="P71" s="1"/>
      <c r="Q71" s="1"/>
      <c r="R71" s="1"/>
      <c r="S71" s="1"/>
      <c r="T71" s="1"/>
    </row>
    <row r="72" spans="1:20" x14ac:dyDescent="0.25">
      <c r="A72" s="50" t="s">
        <v>311</v>
      </c>
      <c r="B72" s="3"/>
      <c r="C72" s="3"/>
      <c r="D72" s="3" t="s">
        <v>137</v>
      </c>
      <c r="E72" s="3"/>
      <c r="F72" s="3"/>
      <c r="G72" s="3"/>
      <c r="H72" s="3"/>
      <c r="I72" s="3" t="s">
        <v>93</v>
      </c>
      <c r="K72" s="32"/>
      <c r="L72" s="1"/>
      <c r="M72" s="1"/>
      <c r="N72" s="1"/>
      <c r="O72" s="1"/>
      <c r="P72" s="1"/>
      <c r="Q72" s="1"/>
      <c r="R72" s="1"/>
      <c r="S72" s="1"/>
      <c r="T72" s="1"/>
    </row>
    <row r="73" spans="1:20" x14ac:dyDescent="0.25">
      <c r="A73" s="50" t="s">
        <v>938</v>
      </c>
      <c r="B73" s="3"/>
      <c r="C73" s="3"/>
      <c r="D73" s="3" t="s">
        <v>92</v>
      </c>
      <c r="F73" s="3">
        <v>0</v>
      </c>
      <c r="G73">
        <v>4095</v>
      </c>
      <c r="H73" s="3" t="s">
        <v>936</v>
      </c>
      <c r="I73" s="3" t="s">
        <v>93</v>
      </c>
      <c r="J73" s="1" t="s">
        <v>937</v>
      </c>
    </row>
    <row r="74" spans="1:20" x14ac:dyDescent="0.25">
      <c r="A74" s="50" t="s">
        <v>939</v>
      </c>
      <c r="B74" s="3"/>
      <c r="C74" s="3"/>
      <c r="D74" s="3" t="s">
        <v>92</v>
      </c>
      <c r="F74" s="3">
        <v>0</v>
      </c>
      <c r="G74">
        <v>4095</v>
      </c>
      <c r="H74" s="3" t="s">
        <v>936</v>
      </c>
      <c r="I74" s="3" t="s">
        <v>93</v>
      </c>
      <c r="J74" s="1" t="s">
        <v>937</v>
      </c>
    </row>
  </sheetData>
  <mergeCells count="6">
    <mergeCell ref="A1:J1"/>
    <mergeCell ref="B3:C3"/>
    <mergeCell ref="K38:T38"/>
    <mergeCell ref="K4:T4"/>
    <mergeCell ref="A4:J4"/>
    <mergeCell ref="A38:J38"/>
  </mergeCells>
  <pageMargins left="0.7" right="0.7" top="0.75" bottom="0.75"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zoomScaleNormal="100" workbookViewId="0">
      <pane xSplit="1" ySplit="4" topLeftCell="B5" activePane="bottomRight" state="frozen"/>
      <selection pane="topRight" activeCell="B1" sqref="B1"/>
      <selection pane="bottomLeft" activeCell="A3" sqref="A3"/>
      <selection pane="bottomRight" activeCell="A2" sqref="A2"/>
    </sheetView>
  </sheetViews>
  <sheetFormatPr defaultColWidth="8.5703125" defaultRowHeight="15" x14ac:dyDescent="0.25"/>
  <cols>
    <col min="1" max="1" width="50.7109375" style="46" customWidth="1"/>
    <col min="2" max="4" width="12.7109375" style="46" customWidth="1"/>
    <col min="5" max="7" width="14.7109375" style="46" customWidth="1"/>
    <col min="8" max="8" width="18.7109375" style="46" customWidth="1"/>
    <col min="9" max="9" width="6.7109375" style="46" customWidth="1"/>
    <col min="10" max="10" width="10.7109375" style="3" customWidth="1"/>
    <col min="11" max="11" width="100.7109375" customWidth="1"/>
    <col min="12" max="12" width="12.42578125" customWidth="1"/>
  </cols>
  <sheetData>
    <row r="1" spans="1:20" s="1" customFormat="1" x14ac:dyDescent="0.25">
      <c r="A1" s="104" t="s">
        <v>765</v>
      </c>
      <c r="B1" s="104"/>
      <c r="C1" s="104"/>
      <c r="D1" s="104"/>
      <c r="E1" s="104"/>
      <c r="F1" s="104"/>
      <c r="G1" s="104"/>
      <c r="H1" s="104"/>
      <c r="I1" s="104"/>
      <c r="J1" s="104"/>
      <c r="K1" s="3"/>
    </row>
    <row r="2" spans="1:20" s="1" customFormat="1" x14ac:dyDescent="0.25">
      <c r="A2" s="3" t="s">
        <v>854</v>
      </c>
      <c r="K2" s="3"/>
    </row>
    <row r="3" spans="1:20" x14ac:dyDescent="0.25">
      <c r="A3" s="10" t="s">
        <v>90</v>
      </c>
      <c r="B3" s="99" t="s">
        <v>486</v>
      </c>
      <c r="C3" s="100"/>
      <c r="D3" s="2" t="s">
        <v>82</v>
      </c>
      <c r="E3" s="11" t="s">
        <v>83</v>
      </c>
      <c r="F3" s="12" t="s">
        <v>84</v>
      </c>
      <c r="G3" s="12" t="s">
        <v>85</v>
      </c>
      <c r="H3" s="13" t="s">
        <v>86</v>
      </c>
      <c r="I3" s="14" t="s">
        <v>87</v>
      </c>
      <c r="J3" s="14" t="s">
        <v>477</v>
      </c>
      <c r="K3" s="3" t="s">
        <v>134</v>
      </c>
      <c r="L3" s="1"/>
      <c r="M3" s="1"/>
      <c r="N3" s="1"/>
      <c r="O3" s="1"/>
      <c r="P3" s="1"/>
      <c r="Q3" s="1"/>
      <c r="R3" s="1"/>
      <c r="S3" s="1"/>
      <c r="T3" s="1"/>
    </row>
    <row r="4" spans="1:20" x14ac:dyDescent="0.25">
      <c r="A4" s="110" t="s">
        <v>88</v>
      </c>
      <c r="B4" s="111"/>
      <c r="C4" s="111"/>
      <c r="D4" s="111"/>
      <c r="E4" s="111"/>
      <c r="F4" s="111"/>
      <c r="G4" s="111"/>
      <c r="H4" s="111"/>
      <c r="I4" s="111"/>
      <c r="J4" s="113"/>
      <c r="K4" s="101"/>
      <c r="L4" s="102"/>
      <c r="M4" s="102"/>
      <c r="N4" s="102"/>
      <c r="O4" s="102"/>
      <c r="P4" s="102"/>
      <c r="Q4" s="102"/>
      <c r="R4" s="102"/>
      <c r="S4" s="102"/>
      <c r="T4" s="103"/>
    </row>
    <row r="5" spans="1:20" x14ac:dyDescent="0.25">
      <c r="A5" s="46" t="str">
        <f>IF('DATI LOGICI'!A3&lt;&gt;"",'DATI LOGICI'!A3,"")</f>
        <v>Firmware macchina</v>
      </c>
      <c r="B5" s="46">
        <f>IF('DATI LOGICI'!B3&lt;&gt;"",'DATI LOGICI'!B3,"")</f>
        <v>0</v>
      </c>
      <c r="C5" s="46">
        <f>IF('DATI LOGICI'!C3&lt;&gt;"",'DATI LOGICI'!C3,"")</f>
        <v>0</v>
      </c>
      <c r="D5" s="46" t="str">
        <f>IF('DATI LOGICI'!D3&lt;&gt;"",'DATI LOGICI'!D3,"")</f>
        <v xml:space="preserve">uint16_t </v>
      </c>
      <c r="E5" s="46" t="str">
        <f>IF('DATI LOGICI'!E3&lt;&gt;"",'DATI LOGICI'!E3,"")</f>
        <v>255.255</v>
      </c>
      <c r="F5" s="46">
        <f>IF('DATI LOGICI'!F3&lt;&gt;"",'DATI LOGICI'!F3,"")</f>
        <v>0</v>
      </c>
      <c r="G5" s="46" t="str">
        <f>IF('DATI LOGICI'!G3&lt;&gt;"",'DATI LOGICI'!G3,"")</f>
        <v>255.255</v>
      </c>
      <c r="H5" s="46" t="str">
        <f>IF('DATI LOGICI'!H3&lt;&gt;"",'DATI LOGICI'!H3,"")</f>
        <v/>
      </c>
      <c r="I5" s="46" t="str">
        <f>IF('DATI LOGICI'!I3&lt;&gt;"",'DATI LOGICI'!I3,"")</f>
        <v>R</v>
      </c>
    </row>
    <row r="6" spans="1:20" x14ac:dyDescent="0.25">
      <c r="A6" s="46" t="str">
        <f>IF('DATI LOGICI'!A4&lt;&gt;"",'DATI LOGICI'!A4,"")</f>
        <v>Firmware scheda</v>
      </c>
      <c r="B6" s="46">
        <f>IF('DATI LOGICI'!B4&lt;&gt;"",'DATI LOGICI'!B4,"")</f>
        <v>0</v>
      </c>
      <c r="C6" s="46">
        <f>IF('DATI LOGICI'!C4&lt;&gt;"",'DATI LOGICI'!C4,"")</f>
        <v>1</v>
      </c>
      <c r="D6" s="46" t="str">
        <f>IF('DATI LOGICI'!D4&lt;&gt;"",'DATI LOGICI'!D4,"")</f>
        <v xml:space="preserve">uint16_t </v>
      </c>
      <c r="E6" s="46" t="str">
        <f>IF('DATI LOGICI'!E4&lt;&gt;"",'DATI LOGICI'!E4,"")</f>
        <v>255.255</v>
      </c>
      <c r="F6" s="46">
        <f>IF('DATI LOGICI'!F4&lt;&gt;"",'DATI LOGICI'!F4,"")</f>
        <v>0</v>
      </c>
      <c r="G6" s="46" t="str">
        <f>IF('DATI LOGICI'!G4&lt;&gt;"",'DATI LOGICI'!G4,"")</f>
        <v>255.255</v>
      </c>
      <c r="H6" s="46" t="str">
        <f>IF('DATI LOGICI'!H4&lt;&gt;"",'DATI LOGICI'!H4,"")</f>
        <v/>
      </c>
      <c r="I6" s="46" t="str">
        <f>IF('DATI LOGICI'!I4&lt;&gt;"",'DATI LOGICI'!I4,"")</f>
        <v>R</v>
      </c>
    </row>
    <row r="7" spans="1:20" x14ac:dyDescent="0.25">
      <c r="A7" s="46" t="str">
        <f>IF('DATI LOGICI'!A5&lt;&gt;"",'DATI LOGICI'!A5,"")</f>
        <v>Modello</v>
      </c>
      <c r="B7" s="46">
        <f>IF('DATI LOGICI'!B5&lt;&gt;"",'DATI LOGICI'!B5,"")</f>
        <v>0</v>
      </c>
      <c r="C7" s="46">
        <f>IF('DATI LOGICI'!C5&lt;&gt;"",'DATI LOGICI'!C5,"")</f>
        <v>2</v>
      </c>
      <c r="D7" s="46" t="str">
        <f>IF('DATI LOGICI'!D5&lt;&gt;"",'DATI LOGICI'!D5,"")</f>
        <v>String[20]</v>
      </c>
      <c r="E7" s="46" t="str">
        <f>IF('DATI LOGICI'!E5&lt;&gt;"",'DATI LOGICI'!E5,"")</f>
        <v/>
      </c>
      <c r="F7" s="46" t="str">
        <f>IF('DATI LOGICI'!F5&lt;&gt;"",'DATI LOGICI'!F5,"")</f>
        <v/>
      </c>
      <c r="G7" s="46" t="str">
        <f>IF('DATI LOGICI'!G5&lt;&gt;"",'DATI LOGICI'!G5,"")</f>
        <v/>
      </c>
      <c r="H7" s="46" t="str">
        <f>IF('DATI LOGICI'!H5&lt;&gt;"",'DATI LOGICI'!H5,"")</f>
        <v/>
      </c>
      <c r="I7" s="46" t="str">
        <f>IF('DATI LOGICI'!I5&lt;&gt;"",'DATI LOGICI'!I5,"")</f>
        <v>R</v>
      </c>
    </row>
    <row r="8" spans="1:20" x14ac:dyDescent="0.25">
      <c r="A8" s="46" t="str">
        <f>IF('DATI LOGICI'!A6&lt;&gt;"",'DATI LOGICI'!A6,"")</f>
        <v>Matricola</v>
      </c>
      <c r="B8" s="46">
        <f>IF('DATI LOGICI'!B6&lt;&gt;"",'DATI LOGICI'!B6,"")</f>
        <v>0</v>
      </c>
      <c r="C8" s="46">
        <f>IF('DATI LOGICI'!C6&lt;&gt;"",'DATI LOGICI'!C6,"")</f>
        <v>3</v>
      </c>
      <c r="D8" s="46" t="str">
        <f>IF('DATI LOGICI'!D6&lt;&gt;"",'DATI LOGICI'!D6,"")</f>
        <v xml:space="preserve">uint32_t </v>
      </c>
      <c r="E8" s="46" t="str">
        <f>IF('DATI LOGICI'!E6&lt;&gt;"",'DATI LOGICI'!E6,"")</f>
        <v/>
      </c>
      <c r="F8" s="46">
        <f>IF('DATI LOGICI'!F6&lt;&gt;"",'DATI LOGICI'!F6,"")</f>
        <v>0</v>
      </c>
      <c r="G8" s="46">
        <f>IF('DATI LOGICI'!G6&lt;&gt;"",'DATI LOGICI'!G6,"")</f>
        <v>4294967296</v>
      </c>
      <c r="H8" s="46" t="str">
        <f>IF('DATI LOGICI'!H6&lt;&gt;"",'DATI LOGICI'!H6,"")</f>
        <v/>
      </c>
      <c r="I8" s="46" t="str">
        <f>IF('DATI LOGICI'!I6&lt;&gt;"",'DATI LOGICI'!I6,"")</f>
        <v>RW</v>
      </c>
    </row>
    <row r="9" spans="1:20" x14ac:dyDescent="0.25">
      <c r="A9" s="46" t="str">
        <f>IF('DATI LOGICI'!A7&lt;&gt;"",'DATI LOGICI'!A7,"")</f>
        <v>Tipo scheda</v>
      </c>
      <c r="B9" s="46">
        <f>IF('DATI LOGICI'!B7&lt;&gt;"",'DATI LOGICI'!B7,"")</f>
        <v>0</v>
      </c>
      <c r="C9" s="46">
        <f>IF('DATI LOGICI'!C7&lt;&gt;"",'DATI LOGICI'!C7,"")</f>
        <v>4</v>
      </c>
      <c r="D9" s="46" t="str">
        <f>IF('DATI LOGICI'!D7&lt;&gt;"",'DATI LOGICI'!D7,"")</f>
        <v>enum dipendente dalle macchine</v>
      </c>
      <c r="E9" s="46" t="str">
        <f>IF('DATI LOGICI'!E7&lt;&gt;"",'DATI LOGICI'!E7,"")</f>
        <v/>
      </c>
      <c r="F9" s="46" t="str">
        <f>IF('DATI LOGICI'!F7&lt;&gt;"",'DATI LOGICI'!F7,"")</f>
        <v/>
      </c>
      <c r="G9" s="46" t="str">
        <f>IF('DATI LOGICI'!G7&lt;&gt;"",'DATI LOGICI'!G7,"")</f>
        <v/>
      </c>
      <c r="H9" s="46" t="str">
        <f>IF('DATI LOGICI'!H7&lt;&gt;"",'DATI LOGICI'!H7,"")</f>
        <v/>
      </c>
      <c r="I9" s="46" t="str">
        <f>IF('DATI LOGICI'!I7&lt;&gt;"",'DATI LOGICI'!I7,"")</f>
        <v>N</v>
      </c>
    </row>
    <row r="10" spans="1:20" x14ac:dyDescent="0.25">
      <c r="A10" s="49" t="str">
        <f>IF('DATI LOGICI'!A8&lt;&gt;"",'DATI LOGICI'!A8,"")</f>
        <v>Stato</v>
      </c>
      <c r="B10" s="46">
        <f>IF('DATI LOGICI'!B8&lt;&gt;"",'DATI LOGICI'!B8,"")</f>
        <v>0</v>
      </c>
      <c r="C10" s="46">
        <f>IF('DATI LOGICI'!C8&lt;&gt;"",'DATI LOGICI'!C8,"")</f>
        <v>5</v>
      </c>
      <c r="D10" s="46" t="str">
        <f>IF('DATI LOGICI'!D8&lt;&gt;"",'DATI LOGICI'!D8,"")</f>
        <v>3*uint32_t</v>
      </c>
      <c r="E10" s="46" t="str">
        <f>IF('DATI LOGICI'!E8&lt;&gt;"",'DATI LOGICI'!E8,"")</f>
        <v/>
      </c>
      <c r="F10" s="46" t="str">
        <f>IF('DATI LOGICI'!F8&lt;&gt;"",'DATI LOGICI'!F8,"")</f>
        <v/>
      </c>
      <c r="G10" s="46" t="str">
        <f>IF('DATI LOGICI'!G8&lt;&gt;"",'DATI LOGICI'!G8,"")</f>
        <v/>
      </c>
      <c r="H10" s="46" t="str">
        <f>IF('DATI LOGICI'!H8&lt;&gt;"",'DATI LOGICI'!H8,"")</f>
        <v/>
      </c>
      <c r="I10" s="46" t="str">
        <f>IF('DATI LOGICI'!I8&lt;&gt;"",'DATI LOGICI'!I8,"")</f>
        <v>R</v>
      </c>
    </row>
    <row r="11" spans="1:20" x14ac:dyDescent="0.25">
      <c r="A11" s="46" t="str">
        <f>IF('DATI LOGICI'!A9&lt;&gt;"",'DATI LOGICI'!A9,"")</f>
        <v>Allarmi</v>
      </c>
      <c r="B11" s="46">
        <f>IF('DATI LOGICI'!B9&lt;&gt;"",'DATI LOGICI'!B9,"")</f>
        <v>0</v>
      </c>
      <c r="C11" s="46">
        <f>IF('DATI LOGICI'!C9&lt;&gt;"",'DATI LOGICI'!C9,"")</f>
        <v>6</v>
      </c>
      <c r="D11" s="46" t="str">
        <f>IF('DATI LOGICI'!D9&lt;&gt;"",'DATI LOGICI'!D9,"")</f>
        <v xml:space="preserve">due word uint16_t bitmapped </v>
      </c>
      <c r="E11" s="46" t="str">
        <f>IF('DATI LOGICI'!E9&lt;&gt;"",'DATI LOGICI'!E9,"")</f>
        <v/>
      </c>
      <c r="F11" s="46" t="str">
        <f>IF('DATI LOGICI'!F9&lt;&gt;"",'DATI LOGICI'!F9,"")</f>
        <v/>
      </c>
      <c r="G11" s="46" t="str">
        <f>IF('DATI LOGICI'!G9&lt;&gt;"",'DATI LOGICI'!G9,"")</f>
        <v/>
      </c>
      <c r="H11" s="46" t="str">
        <f>IF('DATI LOGICI'!H9&lt;&gt;"",'DATI LOGICI'!H9,"")</f>
        <v/>
      </c>
      <c r="I11" s="46" t="str">
        <f>IF('DATI LOGICI'!I9&lt;&gt;"",'DATI LOGICI'!I9,"")</f>
        <v>R</v>
      </c>
    </row>
    <row r="12" spans="1:20" x14ac:dyDescent="0.25">
      <c r="A12" s="49" t="str">
        <f>IF('DATI LOGICI'!A10&lt;&gt;"",'DATI LOGICI'!A10,"")</f>
        <v>Comandi</v>
      </c>
      <c r="B12" s="46">
        <f>IF('DATI LOGICI'!B10&lt;&gt;"",'DATI LOGICI'!B10,"")</f>
        <v>0</v>
      </c>
      <c r="C12" s="46">
        <f>IF('DATI LOGICI'!C10&lt;&gt;"",'DATI LOGICI'!C10,"")</f>
        <v>7</v>
      </c>
      <c r="D12" s="46" t="str">
        <f>IF('DATI LOGICI'!D10&lt;&gt;"",'DATI LOGICI'!D10,"")</f>
        <v xml:space="preserve">uint16_t </v>
      </c>
      <c r="E12" s="46" t="str">
        <f>IF('DATI LOGICI'!E10&lt;&gt;"",'DATI LOGICI'!E10,"")</f>
        <v/>
      </c>
      <c r="F12" s="46" t="str">
        <f>IF('DATI LOGICI'!F10&lt;&gt;"",'DATI LOGICI'!F10,"")</f>
        <v/>
      </c>
      <c r="G12" s="46" t="str">
        <f>IF('DATI LOGICI'!G10&lt;&gt;"",'DATI LOGICI'!G10,"")</f>
        <v/>
      </c>
      <c r="H12" s="46" t="str">
        <f>IF('DATI LOGICI'!H10&lt;&gt;"",'DATI LOGICI'!H10,"")</f>
        <v/>
      </c>
      <c r="I12" s="46" t="str">
        <f>IF('DATI LOGICI'!I10&lt;&gt;"",'DATI LOGICI'!I10,"")</f>
        <v>N</v>
      </c>
    </row>
    <row r="13" spans="1:20" x14ac:dyDescent="0.25">
      <c r="A13" s="46" t="str">
        <f>IF('DATI LOGICI'!A11&lt;&gt;"",'DATI LOGICI'!A11,"")</f>
        <v>Temperatura scheda</v>
      </c>
      <c r="B13" s="46">
        <f>IF('DATI LOGICI'!B11&lt;&gt;"",'DATI LOGICI'!B11,"")</f>
        <v>0</v>
      </c>
      <c r="C13" s="46">
        <f>IF('DATI LOGICI'!C11&lt;&gt;"",'DATI LOGICI'!C11,"")</f>
        <v>8</v>
      </c>
      <c r="D13" s="46" t="str">
        <f>IF('DATI LOGICI'!D11&lt;&gt;"",'DATI LOGICI'!D11,"")</f>
        <v xml:space="preserve">uint16_t </v>
      </c>
      <c r="E13" s="46" t="str">
        <f>IF('DATI LOGICI'!E11&lt;&gt;"",'DATI LOGICI'!E11,"")</f>
        <v/>
      </c>
      <c r="F13" s="46" t="str">
        <f>IF('DATI LOGICI'!F11&lt;&gt;"",'DATI LOGICI'!F11,"")</f>
        <v/>
      </c>
      <c r="G13" s="46" t="str">
        <f>IF('DATI LOGICI'!G11&lt;&gt;"",'DATI LOGICI'!G11,"")</f>
        <v/>
      </c>
      <c r="H13" s="46" t="str">
        <f>IF('DATI LOGICI'!H11&lt;&gt;"",'DATI LOGICI'!H11,"")</f>
        <v/>
      </c>
      <c r="I13" s="46" t="str">
        <f>IF('DATI LOGICI'!I11&lt;&gt;"",'DATI LOGICI'!I11,"")</f>
        <v>R</v>
      </c>
    </row>
    <row r="14" spans="1:20" x14ac:dyDescent="0.25">
      <c r="A14" s="48" t="str">
        <f>IF('DATI LOGICI'!A12&lt;&gt;"",'DATI LOGICI'!A12,"")</f>
        <v>Secondi lavoro motore parziale</v>
      </c>
      <c r="B14" s="46">
        <f>IF('DATI LOGICI'!B12&lt;&gt;"",'DATI LOGICI'!B12,"")</f>
        <v>0</v>
      </c>
      <c r="C14" s="46">
        <f>IF('DATI LOGICI'!C12&lt;&gt;"",'DATI LOGICI'!C12,"")</f>
        <v>9</v>
      </c>
      <c r="D14" s="46" t="str">
        <f>IF('DATI LOGICI'!D12&lt;&gt;"",'DATI LOGICI'!D12,"")</f>
        <v xml:space="preserve">uint32_t </v>
      </c>
      <c r="E14" s="46" t="str">
        <f>IF('DATI LOGICI'!E12&lt;&gt;"",'DATI LOGICI'!E12,"")</f>
        <v/>
      </c>
      <c r="F14" s="46" t="str">
        <f>IF('DATI LOGICI'!F12&lt;&gt;"",'DATI LOGICI'!F12,"")</f>
        <v/>
      </c>
      <c r="G14" s="46" t="str">
        <f>IF('DATI LOGICI'!G12&lt;&gt;"",'DATI LOGICI'!G12,"")</f>
        <v/>
      </c>
      <c r="H14" s="46" t="str">
        <f>IF('DATI LOGICI'!H12&lt;&gt;"",'DATI LOGICI'!H12,"")</f>
        <v/>
      </c>
      <c r="I14" s="46" t="str">
        <f>IF('DATI LOGICI'!I12&lt;&gt;"",'DATI LOGICI'!I12,"")</f>
        <v>RW</v>
      </c>
    </row>
    <row r="15" spans="1:20" x14ac:dyDescent="0.25">
      <c r="A15" s="48" t="str">
        <f>IF('DATI LOGICI'!A13&lt;&gt;"",'DATI LOGICI'!A13,"")</f>
        <v>Secondi lavoro motore totale</v>
      </c>
      <c r="B15" s="46">
        <f>IF('DATI LOGICI'!B13&lt;&gt;"",'DATI LOGICI'!B13,"")</f>
        <v>0</v>
      </c>
      <c r="C15" s="46" t="str">
        <f>IF('DATI LOGICI'!C13&lt;&gt;"",'DATI LOGICI'!C13,"")</f>
        <v>A</v>
      </c>
      <c r="D15" s="46" t="str">
        <f>IF('DATI LOGICI'!D13&lt;&gt;"",'DATI LOGICI'!D13,"")</f>
        <v xml:space="preserve">uint32_t </v>
      </c>
      <c r="E15" s="46" t="str">
        <f>IF('DATI LOGICI'!E13&lt;&gt;"",'DATI LOGICI'!E13,"")</f>
        <v/>
      </c>
      <c r="F15" s="46" t="str">
        <f>IF('DATI LOGICI'!F13&lt;&gt;"",'DATI LOGICI'!F13,"")</f>
        <v/>
      </c>
      <c r="G15" s="46" t="str">
        <f>IF('DATI LOGICI'!G13&lt;&gt;"",'DATI LOGICI'!G13,"")</f>
        <v/>
      </c>
      <c r="H15" s="46" t="str">
        <f>IF('DATI LOGICI'!H13&lt;&gt;"",'DATI LOGICI'!H13,"")</f>
        <v/>
      </c>
      <c r="I15" s="46" t="str">
        <f>IF('DATI LOGICI'!I13&lt;&gt;"",'DATI LOGICI'!I13,"")</f>
        <v>RW</v>
      </c>
    </row>
    <row r="16" spans="1:20" x14ac:dyDescent="0.25">
      <c r="A16" s="48" t="str">
        <f>IF('DATI LOGICI'!A14&lt;&gt;"",'DATI LOGICI'!A14,"")</f>
        <v>Cicli complessivi parziale</v>
      </c>
      <c r="B16" s="46">
        <f>IF('DATI LOGICI'!B14&lt;&gt;"",'DATI LOGICI'!B14,"")</f>
        <v>0</v>
      </c>
      <c r="C16" s="46" t="str">
        <f>IF('DATI LOGICI'!C14&lt;&gt;"",'DATI LOGICI'!C14,"")</f>
        <v>B</v>
      </c>
      <c r="D16" s="46" t="str">
        <f>IF('DATI LOGICI'!D14&lt;&gt;"",'DATI LOGICI'!D14,"")</f>
        <v xml:space="preserve">uint32_t </v>
      </c>
      <c r="E16" s="46" t="str">
        <f>IF('DATI LOGICI'!E14&lt;&gt;"",'DATI LOGICI'!E14,"")</f>
        <v/>
      </c>
      <c r="F16" s="46" t="str">
        <f>IF('DATI LOGICI'!F14&lt;&gt;"",'DATI LOGICI'!F14,"")</f>
        <v/>
      </c>
      <c r="G16" s="46" t="str">
        <f>IF('DATI LOGICI'!G14&lt;&gt;"",'DATI LOGICI'!G14,"")</f>
        <v/>
      </c>
      <c r="H16" s="46" t="str">
        <f>IF('DATI LOGICI'!H14&lt;&gt;"",'DATI LOGICI'!H14,"")</f>
        <v/>
      </c>
      <c r="I16" s="46" t="str">
        <f>IF('DATI LOGICI'!I14&lt;&gt;"",'DATI LOGICI'!I14,"")</f>
        <v>RW</v>
      </c>
    </row>
    <row r="17" spans="1:9" x14ac:dyDescent="0.25">
      <c r="A17" s="48" t="str">
        <f>IF('DATI LOGICI'!A15&lt;&gt;"",'DATI LOGICI'!A15,"")</f>
        <v>Cicli complessivi totale</v>
      </c>
      <c r="B17" s="46">
        <f>IF('DATI LOGICI'!B15&lt;&gt;"",'DATI LOGICI'!B15,"")</f>
        <v>0</v>
      </c>
      <c r="C17" s="46" t="str">
        <f>IF('DATI LOGICI'!C15&lt;&gt;"",'DATI LOGICI'!C15,"")</f>
        <v>C</v>
      </c>
      <c r="D17" s="46" t="str">
        <f>IF('DATI LOGICI'!D15&lt;&gt;"",'DATI LOGICI'!D15,"")</f>
        <v xml:space="preserve">uint32_t </v>
      </c>
      <c r="E17" s="46" t="str">
        <f>IF('DATI LOGICI'!E15&lt;&gt;"",'DATI LOGICI'!E15,"")</f>
        <v/>
      </c>
      <c r="F17" s="46" t="str">
        <f>IF('DATI LOGICI'!F15&lt;&gt;"",'DATI LOGICI'!F15,"")</f>
        <v/>
      </c>
      <c r="G17" s="46" t="str">
        <f>IF('DATI LOGICI'!G15&lt;&gt;"",'DATI LOGICI'!G15,"")</f>
        <v/>
      </c>
      <c r="H17" s="46" t="str">
        <f>IF('DATI LOGICI'!H15&lt;&gt;"",'DATI LOGICI'!H15,"")</f>
        <v/>
      </c>
      <c r="I17" s="46" t="str">
        <f>IF('DATI LOGICI'!I15&lt;&gt;"",'DATI LOGICI'!I15,"")</f>
        <v>RW</v>
      </c>
    </row>
    <row r="18" spans="1:9" x14ac:dyDescent="0.25">
      <c r="A18" s="48" t="str">
        <f>IF('DATI LOGICI'!A16&lt;&gt;"",'DATI LOGICI'!A16,"")</f>
        <v>Cicli completi eseguiti parziale</v>
      </c>
      <c r="B18" s="46">
        <f>IF('DATI LOGICI'!B16&lt;&gt;"",'DATI LOGICI'!B16,"")</f>
        <v>0</v>
      </c>
      <c r="C18" s="46" t="str">
        <f>IF('DATI LOGICI'!C16&lt;&gt;"",'DATI LOGICI'!C16,"")</f>
        <v>D</v>
      </c>
      <c r="D18" s="46" t="str">
        <f>IF('DATI LOGICI'!D16&lt;&gt;"",'DATI LOGICI'!D16,"")</f>
        <v xml:space="preserve">uint32_t </v>
      </c>
      <c r="E18" s="46" t="str">
        <f>IF('DATI LOGICI'!E16&lt;&gt;"",'DATI LOGICI'!E16,"")</f>
        <v/>
      </c>
      <c r="F18" s="46" t="str">
        <f>IF('DATI LOGICI'!F16&lt;&gt;"",'DATI LOGICI'!F16,"")</f>
        <v/>
      </c>
      <c r="G18" s="46" t="str">
        <f>IF('DATI LOGICI'!G16&lt;&gt;"",'DATI LOGICI'!G16,"")</f>
        <v/>
      </c>
      <c r="H18" s="46" t="str">
        <f>IF('DATI LOGICI'!H16&lt;&gt;"",'DATI LOGICI'!H16,"")</f>
        <v/>
      </c>
      <c r="I18" s="46" t="str">
        <f>IF('DATI LOGICI'!I16&lt;&gt;"",'DATI LOGICI'!I16,"")</f>
        <v>RW</v>
      </c>
    </row>
    <row r="19" spans="1:9" x14ac:dyDescent="0.25">
      <c r="A19" s="48" t="str">
        <f>IF('DATI LOGICI'!A17&lt;&gt;"",'DATI LOGICI'!A17,"")</f>
        <v>Cicli completi eseguiti totale</v>
      </c>
      <c r="B19" s="46">
        <f>IF('DATI LOGICI'!B17&lt;&gt;"",'DATI LOGICI'!B17,"")</f>
        <v>0</v>
      </c>
      <c r="C19" s="46" t="str">
        <f>IF('DATI LOGICI'!C17&lt;&gt;"",'DATI LOGICI'!C17,"")</f>
        <v>E</v>
      </c>
      <c r="D19" s="46" t="str">
        <f>IF('DATI LOGICI'!D17&lt;&gt;"",'DATI LOGICI'!D17,"")</f>
        <v xml:space="preserve">uint32_t </v>
      </c>
      <c r="E19" s="46" t="str">
        <f>IF('DATI LOGICI'!E17&lt;&gt;"",'DATI LOGICI'!E17,"")</f>
        <v/>
      </c>
      <c r="F19" s="46" t="str">
        <f>IF('DATI LOGICI'!F17&lt;&gt;"",'DATI LOGICI'!F17,"")</f>
        <v/>
      </c>
      <c r="G19" s="46" t="str">
        <f>IF('DATI LOGICI'!G17&lt;&gt;"",'DATI LOGICI'!G17,"")</f>
        <v/>
      </c>
      <c r="H19" s="46" t="str">
        <f>IF('DATI LOGICI'!H17&lt;&gt;"",'DATI LOGICI'!H17,"")</f>
        <v/>
      </c>
      <c r="I19" s="46" t="str">
        <f>IF('DATI LOGICI'!I17&lt;&gt;"",'DATI LOGICI'!I17,"")</f>
        <v>RW</v>
      </c>
    </row>
    <row r="20" spans="1:9" x14ac:dyDescent="0.25">
      <c r="A20" s="47" t="str">
        <f>IF('DATI LOGICI'!A18&lt;&gt;"",'DATI LOGICI'!A18,"")</f>
        <v>Livello batteria</v>
      </c>
      <c r="B20" s="46">
        <f>IF('DATI LOGICI'!B18&lt;&gt;"",'DATI LOGICI'!B18,"")</f>
        <v>0</v>
      </c>
      <c r="C20" s="46" t="str">
        <f>IF('DATI LOGICI'!C18&lt;&gt;"",'DATI LOGICI'!C18,"")</f>
        <v>F</v>
      </c>
      <c r="D20" s="46" t="str">
        <f>IF('DATI LOGICI'!D18&lt;&gt;"",'DATI LOGICI'!D18,"")</f>
        <v xml:space="preserve">uint16_t </v>
      </c>
      <c r="E20" s="46" t="str">
        <f>IF('DATI LOGICI'!E18&lt;&gt;"",'DATI LOGICI'!E18,"")</f>
        <v/>
      </c>
      <c r="F20" s="46" t="str">
        <f>IF('DATI LOGICI'!F18&lt;&gt;"",'DATI LOGICI'!F18,"")</f>
        <v/>
      </c>
      <c r="G20" s="46" t="str">
        <f>IF('DATI LOGICI'!G18&lt;&gt;"",'DATI LOGICI'!G18,"")</f>
        <v/>
      </c>
      <c r="H20" s="46" t="str">
        <f>IF('DATI LOGICI'!H18&lt;&gt;"",'DATI LOGICI'!H18,"")</f>
        <v/>
      </c>
      <c r="I20" s="46" t="str">
        <f>IF('DATI LOGICI'!I18&lt;&gt;"",'DATI LOGICI'!I18,"")</f>
        <v>R</v>
      </c>
    </row>
    <row r="21" spans="1:9" x14ac:dyDescent="0.25">
      <c r="A21" s="48" t="str">
        <f>IF('DATI LOGICI'!A19&lt;&gt;"",'DATI LOGICI'!A19,"")</f>
        <v>Salute batteria</v>
      </c>
      <c r="B21" s="46">
        <f>IF('DATI LOGICI'!B19&lt;&gt;"",'DATI LOGICI'!B19,"")</f>
        <v>0</v>
      </c>
      <c r="C21" s="46">
        <f>IF('DATI LOGICI'!C19&lt;&gt;"",'DATI LOGICI'!C19,"")</f>
        <v>10</v>
      </c>
      <c r="D21" s="46" t="str">
        <f>IF('DATI LOGICI'!D19&lt;&gt;"",'DATI LOGICI'!D19,"")</f>
        <v xml:space="preserve">uint16_t </v>
      </c>
      <c r="E21" s="46" t="str">
        <f>IF('DATI LOGICI'!E19&lt;&gt;"",'DATI LOGICI'!E19,"")</f>
        <v/>
      </c>
      <c r="F21" s="46" t="str">
        <f>IF('DATI LOGICI'!F19&lt;&gt;"",'DATI LOGICI'!F19,"")</f>
        <v/>
      </c>
      <c r="G21" s="46" t="str">
        <f>IF('DATI LOGICI'!G19&lt;&gt;"",'DATI LOGICI'!G19,"")</f>
        <v/>
      </c>
      <c r="H21" s="46" t="str">
        <f>IF('DATI LOGICI'!H19&lt;&gt;"",'DATI LOGICI'!H19,"")</f>
        <v/>
      </c>
      <c r="I21" s="46" t="str">
        <f>IF('DATI LOGICI'!I19&lt;&gt;"",'DATI LOGICI'!I19,"")</f>
        <v>R</v>
      </c>
    </row>
    <row r="22" spans="1:9" x14ac:dyDescent="0.25">
      <c r="A22" s="48" t="str">
        <f>IF('DATI LOGICI'!A20&lt;&gt;"",'DATI LOGICI'!A20,"")</f>
        <v>Cicli batteria</v>
      </c>
      <c r="B22" s="46">
        <f>IF('DATI LOGICI'!B20&lt;&gt;"",'DATI LOGICI'!B20,"")</f>
        <v>0</v>
      </c>
      <c r="C22" s="46">
        <f>IF('DATI LOGICI'!C20&lt;&gt;"",'DATI LOGICI'!C20,"")</f>
        <v>11</v>
      </c>
      <c r="D22" s="46" t="str">
        <f>IF('DATI LOGICI'!D20&lt;&gt;"",'DATI LOGICI'!D20,"")</f>
        <v xml:space="preserve">uint16_t </v>
      </c>
      <c r="E22" s="46" t="str">
        <f>IF('DATI LOGICI'!E20&lt;&gt;"",'DATI LOGICI'!E20,"")</f>
        <v/>
      </c>
      <c r="F22" s="46" t="str">
        <f>IF('DATI LOGICI'!F20&lt;&gt;"",'DATI LOGICI'!F20,"")</f>
        <v/>
      </c>
      <c r="G22" s="46" t="str">
        <f>IF('DATI LOGICI'!G20&lt;&gt;"",'DATI LOGICI'!G20,"")</f>
        <v/>
      </c>
      <c r="H22" s="46" t="str">
        <f>IF('DATI LOGICI'!H20&lt;&gt;"",'DATI LOGICI'!H20,"")</f>
        <v/>
      </c>
      <c r="I22" s="46" t="str">
        <f>IF('DATI LOGICI'!I20&lt;&gt;"",'DATI LOGICI'!I20,"")</f>
        <v>R</v>
      </c>
    </row>
    <row r="23" spans="1:9" x14ac:dyDescent="0.25">
      <c r="A23" s="48" t="str">
        <f>IF('DATI LOGICI'!A21&lt;&gt;"",'DATI LOGICI'!A21,"")</f>
        <v>Temperatura batteria</v>
      </c>
      <c r="B23" s="46">
        <f>IF('DATI LOGICI'!B21&lt;&gt;"",'DATI LOGICI'!B21,"")</f>
        <v>0</v>
      </c>
      <c r="C23" s="46">
        <f>IF('DATI LOGICI'!C21&lt;&gt;"",'DATI LOGICI'!C21,"")</f>
        <v>12</v>
      </c>
      <c r="D23" s="46" t="str">
        <f>IF('DATI LOGICI'!D21&lt;&gt;"",'DATI LOGICI'!D21,"")</f>
        <v>int16_t</v>
      </c>
      <c r="E23" s="46" t="str">
        <f>IF('DATI LOGICI'!E21&lt;&gt;"",'DATI LOGICI'!E21,"")</f>
        <v/>
      </c>
      <c r="F23" s="46" t="str">
        <f>IF('DATI LOGICI'!F21&lt;&gt;"",'DATI LOGICI'!F21,"")</f>
        <v/>
      </c>
      <c r="G23" s="46" t="str">
        <f>IF('DATI LOGICI'!G21&lt;&gt;"",'DATI LOGICI'!G21,"")</f>
        <v/>
      </c>
      <c r="H23" s="46" t="str">
        <f>IF('DATI LOGICI'!H21&lt;&gt;"",'DATI LOGICI'!H21,"")</f>
        <v/>
      </c>
      <c r="I23" s="46" t="str">
        <f>IF('DATI LOGICI'!I21&lt;&gt;"",'DATI LOGICI'!I21,"")</f>
        <v>R</v>
      </c>
    </row>
    <row r="24" spans="1:9" x14ac:dyDescent="0.25">
      <c r="A24" s="48" t="str">
        <f>IF('DATI LOGICI'!A22&lt;&gt;"",'DATI LOGICI'!A22,"")</f>
        <v>BatteryFirmware</v>
      </c>
      <c r="B24" s="46">
        <f>IF('DATI LOGICI'!B22&lt;&gt;"",'DATI LOGICI'!B22,"")</f>
        <v>0</v>
      </c>
      <c r="C24" s="46">
        <f>IF('DATI LOGICI'!C22&lt;&gt;"",'DATI LOGICI'!C22,"")</f>
        <v>13</v>
      </c>
      <c r="D24" s="46" t="str">
        <f>IF('DATI LOGICI'!D22&lt;&gt;"",'DATI LOGICI'!D22,"")</f>
        <v>uint32_t</v>
      </c>
      <c r="E24" s="46" t="str">
        <f>IF('DATI LOGICI'!E22&lt;&gt;"",'DATI LOGICI'!E22,"")</f>
        <v/>
      </c>
      <c r="F24" s="46" t="str">
        <f>IF('DATI LOGICI'!F22&lt;&gt;"",'DATI LOGICI'!F22,"")</f>
        <v/>
      </c>
      <c r="G24" s="46" t="str">
        <f>IF('DATI LOGICI'!G22&lt;&gt;"",'DATI LOGICI'!G22,"")</f>
        <v/>
      </c>
      <c r="H24" s="46" t="str">
        <f>IF('DATI LOGICI'!H22&lt;&gt;"",'DATI LOGICI'!H22,"")</f>
        <v/>
      </c>
      <c r="I24" s="46" t="str">
        <f>IF('DATI LOGICI'!I22&lt;&gt;"",'DATI LOGICI'!I22,"")</f>
        <v>R</v>
      </c>
    </row>
    <row r="25" spans="1:9" x14ac:dyDescent="0.25">
      <c r="A25" s="48" t="str">
        <f>IF('DATI LOGICI'!A23&lt;&gt;"",'DATI LOGICI'!A23,"")</f>
        <v>BatterySerial</v>
      </c>
      <c r="B25" s="46">
        <f>IF('DATI LOGICI'!B23&lt;&gt;"",'DATI LOGICI'!B23,"")</f>
        <v>0</v>
      </c>
      <c r="C25" s="46">
        <f>IF('DATI LOGICI'!C23&lt;&gt;"",'DATI LOGICI'!C23,"")</f>
        <v>14</v>
      </c>
      <c r="D25" s="46" t="str">
        <f>IF('DATI LOGICI'!D23&lt;&gt;"",'DATI LOGICI'!D23,"")</f>
        <v xml:space="preserve">uint32_t </v>
      </c>
      <c r="E25" s="46" t="str">
        <f>IF('DATI LOGICI'!E23&lt;&gt;"",'DATI LOGICI'!E23,"")</f>
        <v/>
      </c>
      <c r="F25" s="46" t="str">
        <f>IF('DATI LOGICI'!F23&lt;&gt;"",'DATI LOGICI'!F23,"")</f>
        <v/>
      </c>
      <c r="G25" s="46" t="str">
        <f>IF('DATI LOGICI'!G23&lt;&gt;"",'DATI LOGICI'!G23,"")</f>
        <v/>
      </c>
      <c r="H25" s="46" t="str">
        <f>IF('DATI LOGICI'!H23&lt;&gt;"",'DATI LOGICI'!H23,"")</f>
        <v/>
      </c>
      <c r="I25" s="46" t="str">
        <f>IF('DATI LOGICI'!I23&lt;&gt;"",'DATI LOGICI'!I23,"")</f>
        <v>R</v>
      </c>
    </row>
    <row r="26" spans="1:9" x14ac:dyDescent="0.25">
      <c r="A26" s="46" t="str">
        <f>IF('DATI LOGICI'!A24&lt;&gt;"",'DATI LOGICI'!A24,"")</f>
        <v>Stato ingressi fisici</v>
      </c>
      <c r="B26" s="46">
        <f>IF('DATI LOGICI'!B24&lt;&gt;"",'DATI LOGICI'!B24,"")</f>
        <v>0</v>
      </c>
      <c r="C26" s="46">
        <f>IF('DATI LOGICI'!C24&lt;&gt;"",'DATI LOGICI'!C24,"")</f>
        <v>15</v>
      </c>
      <c r="D26" s="46" t="str">
        <f>IF('DATI LOGICI'!D24&lt;&gt;"",'DATI LOGICI'!D24,"")</f>
        <v xml:space="preserve">uint32_t </v>
      </c>
      <c r="E26" s="46" t="str">
        <f>IF('DATI LOGICI'!E24&lt;&gt;"",'DATI LOGICI'!E24,"")</f>
        <v/>
      </c>
      <c r="F26" s="46" t="str">
        <f>IF('DATI LOGICI'!F24&lt;&gt;"",'DATI LOGICI'!F24,"")</f>
        <v/>
      </c>
      <c r="G26" s="46" t="str">
        <f>IF('DATI LOGICI'!G24&lt;&gt;"",'DATI LOGICI'!G24,"")</f>
        <v/>
      </c>
      <c r="H26" s="46" t="str">
        <f>IF('DATI LOGICI'!H24&lt;&gt;"",'DATI LOGICI'!H24,"")</f>
        <v/>
      </c>
      <c r="I26" s="46" t="str">
        <f>IF('DATI LOGICI'!I24&lt;&gt;"",'DATI LOGICI'!I24,"")</f>
        <v>R</v>
      </c>
    </row>
    <row r="27" spans="1:9" x14ac:dyDescent="0.25">
      <c r="A27" s="46" t="str">
        <f>IF('DATI LOGICI'!A25&lt;&gt;"",'DATI LOGICI'!A25,"")</f>
        <v>Stato uscite fisiche</v>
      </c>
      <c r="B27" s="46">
        <f>IF('DATI LOGICI'!B25&lt;&gt;"",'DATI LOGICI'!B25,"")</f>
        <v>0</v>
      </c>
      <c r="C27" s="46">
        <f>IF('DATI LOGICI'!C25&lt;&gt;"",'DATI LOGICI'!C25,"")</f>
        <v>16</v>
      </c>
      <c r="D27" s="46" t="str">
        <f>IF('DATI LOGICI'!D25&lt;&gt;"",'DATI LOGICI'!D25,"")</f>
        <v xml:space="preserve">uint32_t </v>
      </c>
      <c r="E27" s="46" t="str">
        <f>IF('DATI LOGICI'!E25&lt;&gt;"",'DATI LOGICI'!E25,"")</f>
        <v/>
      </c>
      <c r="F27" s="46" t="str">
        <f>IF('DATI LOGICI'!F25&lt;&gt;"",'DATI LOGICI'!F25,"")</f>
        <v/>
      </c>
      <c r="G27" s="46" t="str">
        <f>IF('DATI LOGICI'!G25&lt;&gt;"",'DATI LOGICI'!G25,"")</f>
        <v/>
      </c>
      <c r="H27" s="46" t="str">
        <f>IF('DATI LOGICI'!H25&lt;&gt;"",'DATI LOGICI'!H25,"")</f>
        <v/>
      </c>
      <c r="I27" s="46" t="str">
        <f>IF('DATI LOGICI'!I25&lt;&gt;"",'DATI LOGICI'!I25,"")</f>
        <v>R</v>
      </c>
    </row>
    <row r="28" spans="1:9" x14ac:dyDescent="0.25">
      <c r="A28" s="46" t="str">
        <f>IF('DATI LOGICI'!A26&lt;&gt;"",'DATI LOGICI'!A26,"")</f>
        <v>Firmware Bootloader</v>
      </c>
      <c r="B28" s="46">
        <f>IF('DATI LOGICI'!B26&lt;&gt;"",'DATI LOGICI'!B26,"")</f>
        <v>0</v>
      </c>
      <c r="C28" s="46">
        <f>IF('DATI LOGICI'!C26&lt;&gt;"",'DATI LOGICI'!C26,"")</f>
        <v>17</v>
      </c>
      <c r="D28" s="46" t="str">
        <f>IF('DATI LOGICI'!D26&lt;&gt;"",'DATI LOGICI'!D26,"")</f>
        <v xml:space="preserve">uint16_t </v>
      </c>
      <c r="E28" s="46" t="str">
        <f>IF('DATI LOGICI'!E26&lt;&gt;"",'DATI LOGICI'!E26,"")</f>
        <v>255.255</v>
      </c>
      <c r="F28" s="46">
        <f>IF('DATI LOGICI'!F26&lt;&gt;"",'DATI LOGICI'!F26,"")</f>
        <v>0</v>
      </c>
      <c r="G28" s="46" t="str">
        <f>IF('DATI LOGICI'!G26&lt;&gt;"",'DATI LOGICI'!G26,"")</f>
        <v>255.255</v>
      </c>
      <c r="H28" s="46" t="str">
        <f>IF('DATI LOGICI'!H26&lt;&gt;"",'DATI LOGICI'!H26,"")</f>
        <v/>
      </c>
      <c r="I28" s="46" t="str">
        <f>IF('DATI LOGICI'!I26&lt;&gt;"",'DATI LOGICI'!I26,"")</f>
        <v>R</v>
      </c>
    </row>
    <row r="29" spans="1:9" x14ac:dyDescent="0.25">
      <c r="A29" s="46" t="str">
        <f>IF('DATI LOGICI'!A27&lt;&gt;"",'DATI LOGICI'!A27,"")</f>
        <v/>
      </c>
      <c r="B29" s="46" t="str">
        <f>IF('DATI LOGICI'!B27&lt;&gt;"",'DATI LOGICI'!B27,"")</f>
        <v/>
      </c>
      <c r="C29" s="46" t="str">
        <f>IF('DATI LOGICI'!C27&lt;&gt;"",'DATI LOGICI'!C27,"")</f>
        <v/>
      </c>
      <c r="D29" s="46" t="str">
        <f>IF('DATI LOGICI'!D27&lt;&gt;"",'DATI LOGICI'!D27,"")</f>
        <v/>
      </c>
      <c r="E29" s="46" t="str">
        <f>IF('DATI LOGICI'!E27&lt;&gt;"",'DATI LOGICI'!E27,"")</f>
        <v/>
      </c>
      <c r="F29" s="46" t="str">
        <f>IF('DATI LOGICI'!F27&lt;&gt;"",'DATI LOGICI'!F27,"")</f>
        <v/>
      </c>
      <c r="G29" s="46" t="str">
        <f>IF('DATI LOGICI'!G27&lt;&gt;"",'DATI LOGICI'!G27,"")</f>
        <v/>
      </c>
      <c r="H29" s="46" t="str">
        <f>IF('DATI LOGICI'!H27&lt;&gt;"",'DATI LOGICI'!H27,"")</f>
        <v/>
      </c>
      <c r="I29" s="46" t="str">
        <f>IF('DATI LOGICI'!I27&lt;&gt;"",'DATI LOGICI'!I27,"")</f>
        <v/>
      </c>
    </row>
    <row r="30" spans="1:9" x14ac:dyDescent="0.25">
      <c r="A30" s="46" t="str">
        <f>IF('DATI LOGICI'!A28&lt;&gt;"",'DATI LOGICI'!A28,"")</f>
        <v/>
      </c>
      <c r="B30" s="46" t="str">
        <f>IF('DATI LOGICI'!B28&lt;&gt;"",'DATI LOGICI'!B28,"")</f>
        <v/>
      </c>
      <c r="C30" s="46" t="str">
        <f>IF('DATI LOGICI'!C28&lt;&gt;"",'DATI LOGICI'!C28,"")</f>
        <v/>
      </c>
      <c r="D30" s="46" t="str">
        <f>IF('DATI LOGICI'!D28&lt;&gt;"",'DATI LOGICI'!D28,"")</f>
        <v/>
      </c>
      <c r="E30" s="46" t="str">
        <f>IF('DATI LOGICI'!E28&lt;&gt;"",'DATI LOGICI'!E28,"")</f>
        <v/>
      </c>
      <c r="F30" s="46" t="str">
        <f>IF('DATI LOGICI'!F28&lt;&gt;"",'DATI LOGICI'!F28,"")</f>
        <v/>
      </c>
      <c r="G30" s="46" t="str">
        <f>IF('DATI LOGICI'!G28&lt;&gt;"",'DATI LOGICI'!G28,"")</f>
        <v/>
      </c>
      <c r="H30" s="46" t="str">
        <f>IF('DATI LOGICI'!H28&lt;&gt;"",'DATI LOGICI'!H28,"")</f>
        <v/>
      </c>
      <c r="I30" s="46" t="str">
        <f>IF('DATI LOGICI'!I28&lt;&gt;"",'DATI LOGICI'!I28,"")</f>
        <v/>
      </c>
    </row>
    <row r="31" spans="1:9" x14ac:dyDescent="0.25">
      <c r="A31" s="46" t="str">
        <f>IF('DATI LOGICI'!A29&lt;&gt;"",'DATI LOGICI'!A29,"")</f>
        <v/>
      </c>
      <c r="B31" s="46" t="str">
        <f>IF('DATI LOGICI'!B29&lt;&gt;"",'DATI LOGICI'!B29,"")</f>
        <v/>
      </c>
      <c r="C31" s="46" t="str">
        <f>IF('DATI LOGICI'!C29&lt;&gt;"",'DATI LOGICI'!C29,"")</f>
        <v/>
      </c>
      <c r="D31" s="46" t="str">
        <f>IF('DATI LOGICI'!D29&lt;&gt;"",'DATI LOGICI'!D29,"")</f>
        <v/>
      </c>
      <c r="E31" s="46" t="str">
        <f>IF('DATI LOGICI'!E29&lt;&gt;"",'DATI LOGICI'!E29,"")</f>
        <v/>
      </c>
      <c r="F31" s="46" t="str">
        <f>IF('DATI LOGICI'!F29&lt;&gt;"",'DATI LOGICI'!F29,"")</f>
        <v/>
      </c>
      <c r="G31" s="46" t="str">
        <f>IF('DATI LOGICI'!G29&lt;&gt;"",'DATI LOGICI'!G29,"")</f>
        <v/>
      </c>
      <c r="H31" s="46" t="str">
        <f>IF('DATI LOGICI'!H29&lt;&gt;"",'DATI LOGICI'!H29,"")</f>
        <v/>
      </c>
      <c r="I31" s="46" t="str">
        <f>IF('DATI LOGICI'!I29&lt;&gt;"",'DATI LOGICI'!I29,"")</f>
        <v/>
      </c>
    </row>
    <row r="32" spans="1:9" x14ac:dyDescent="0.25">
      <c r="A32" s="46" t="str">
        <f>IF('DATI LOGICI'!A30&lt;&gt;"",'DATI LOGICI'!A30,"")</f>
        <v/>
      </c>
      <c r="B32" s="46" t="str">
        <f>IF('DATI LOGICI'!B30&lt;&gt;"",'DATI LOGICI'!B30,"")</f>
        <v/>
      </c>
      <c r="C32" s="46" t="str">
        <f>IF('DATI LOGICI'!C30&lt;&gt;"",'DATI LOGICI'!C30,"")</f>
        <v/>
      </c>
      <c r="D32" s="46" t="str">
        <f>IF('DATI LOGICI'!D30&lt;&gt;"",'DATI LOGICI'!D30,"")</f>
        <v/>
      </c>
      <c r="E32" s="46" t="str">
        <f>IF('DATI LOGICI'!E30&lt;&gt;"",'DATI LOGICI'!E30,"")</f>
        <v/>
      </c>
      <c r="F32" s="46" t="str">
        <f>IF('DATI LOGICI'!F30&lt;&gt;"",'DATI LOGICI'!F30,"")</f>
        <v/>
      </c>
      <c r="G32" s="46" t="str">
        <f>IF('DATI LOGICI'!G30&lt;&gt;"",'DATI LOGICI'!G30,"")</f>
        <v/>
      </c>
      <c r="H32" s="46" t="str">
        <f>IF('DATI LOGICI'!H30&lt;&gt;"",'DATI LOGICI'!H30,"")</f>
        <v/>
      </c>
      <c r="I32" s="46" t="str">
        <f>IF('DATI LOGICI'!I30&lt;&gt;"",'DATI LOGICI'!I30,"")</f>
        <v/>
      </c>
    </row>
    <row r="33" spans="1:20" x14ac:dyDescent="0.25">
      <c r="A33" s="46" t="str">
        <f>IF('DATI LOGICI'!A31&lt;&gt;"",'DATI LOGICI'!A31,"")</f>
        <v/>
      </c>
      <c r="B33" s="46" t="str">
        <f>IF('DATI LOGICI'!B31&lt;&gt;"",'DATI LOGICI'!B31,"")</f>
        <v/>
      </c>
      <c r="C33" s="46" t="str">
        <f>IF('DATI LOGICI'!C31&lt;&gt;"",'DATI LOGICI'!C31,"")</f>
        <v/>
      </c>
      <c r="D33" s="46" t="str">
        <f>IF('DATI LOGICI'!D31&lt;&gt;"",'DATI LOGICI'!D31,"")</f>
        <v/>
      </c>
      <c r="E33" s="46" t="str">
        <f>IF('DATI LOGICI'!E31&lt;&gt;"",'DATI LOGICI'!E31,"")</f>
        <v/>
      </c>
      <c r="F33" s="46" t="str">
        <f>IF('DATI LOGICI'!F31&lt;&gt;"",'DATI LOGICI'!F31,"")</f>
        <v/>
      </c>
      <c r="G33" s="46" t="str">
        <f>IF('DATI LOGICI'!G31&lt;&gt;"",'DATI LOGICI'!G31,"")</f>
        <v/>
      </c>
      <c r="H33" s="46" t="str">
        <f>IF('DATI LOGICI'!H31&lt;&gt;"",'DATI LOGICI'!H31,"")</f>
        <v/>
      </c>
      <c r="I33" s="46" t="str">
        <f>IF('DATI LOGICI'!I31&lt;&gt;"",'DATI LOGICI'!I31,"")</f>
        <v/>
      </c>
    </row>
    <row r="34" spans="1:20" x14ac:dyDescent="0.25">
      <c r="A34" s="46" t="str">
        <f>IF('DATI LOGICI'!A32&lt;&gt;"",'DATI LOGICI'!A32,"")</f>
        <v/>
      </c>
      <c r="B34" s="46" t="str">
        <f>IF('DATI LOGICI'!B32&lt;&gt;"",'DATI LOGICI'!B32,"")</f>
        <v/>
      </c>
      <c r="C34" s="46" t="str">
        <f>IF('DATI LOGICI'!C32&lt;&gt;"",'DATI LOGICI'!C32,"")</f>
        <v/>
      </c>
      <c r="D34" s="46" t="str">
        <f>IF('DATI LOGICI'!D32&lt;&gt;"",'DATI LOGICI'!D32,"")</f>
        <v/>
      </c>
      <c r="E34" s="46" t="str">
        <f>IF('DATI LOGICI'!E32&lt;&gt;"",'DATI LOGICI'!E32,"")</f>
        <v/>
      </c>
      <c r="F34" s="46" t="str">
        <f>IF('DATI LOGICI'!F32&lt;&gt;"",'DATI LOGICI'!F32,"")</f>
        <v/>
      </c>
      <c r="G34" s="46" t="str">
        <f>IF('DATI LOGICI'!G32&lt;&gt;"",'DATI LOGICI'!G32,"")</f>
        <v/>
      </c>
      <c r="H34" s="46" t="str">
        <f>IF('DATI LOGICI'!H32&lt;&gt;"",'DATI LOGICI'!H32,"")</f>
        <v/>
      </c>
      <c r="I34" s="46" t="str">
        <f>IF('DATI LOGICI'!I32&lt;&gt;"",'DATI LOGICI'!I32,"")</f>
        <v/>
      </c>
    </row>
    <row r="35" spans="1:20" x14ac:dyDescent="0.25">
      <c r="A35" s="46" t="str">
        <f>IF('DATI LOGICI'!A33&lt;&gt;"",'DATI LOGICI'!A33,"")</f>
        <v/>
      </c>
      <c r="B35" s="46" t="str">
        <f>IF('DATI LOGICI'!B33&lt;&gt;"",'DATI LOGICI'!B33,"")</f>
        <v/>
      </c>
      <c r="C35" s="46" t="str">
        <f>IF('DATI LOGICI'!C33&lt;&gt;"",'DATI LOGICI'!C33,"")</f>
        <v/>
      </c>
      <c r="D35" s="46" t="str">
        <f>IF('DATI LOGICI'!D33&lt;&gt;"",'DATI LOGICI'!D33,"")</f>
        <v/>
      </c>
      <c r="E35" s="46" t="str">
        <f>IF('DATI LOGICI'!E33&lt;&gt;"",'DATI LOGICI'!E33,"")</f>
        <v/>
      </c>
      <c r="F35" s="46" t="str">
        <f>IF('DATI LOGICI'!F33&lt;&gt;"",'DATI LOGICI'!F33,"")</f>
        <v/>
      </c>
      <c r="G35" s="46" t="str">
        <f>IF('DATI LOGICI'!G33&lt;&gt;"",'DATI LOGICI'!G33,"")</f>
        <v/>
      </c>
      <c r="H35" s="46" t="str">
        <f>IF('DATI LOGICI'!H33&lt;&gt;"",'DATI LOGICI'!H33,"")</f>
        <v/>
      </c>
      <c r="I35" s="46" t="str">
        <f>IF('DATI LOGICI'!I33&lt;&gt;"",'DATI LOGICI'!I33,"")</f>
        <v/>
      </c>
    </row>
    <row r="36" spans="1:20" x14ac:dyDescent="0.25">
      <c r="A36" s="46" t="str">
        <f>IF('DATI LOGICI'!A34&lt;&gt;"",'DATI LOGICI'!A34,"")</f>
        <v/>
      </c>
      <c r="B36" s="46" t="str">
        <f>IF('DATI LOGICI'!B34&lt;&gt;"",'DATI LOGICI'!B34,"")</f>
        <v/>
      </c>
      <c r="C36" s="46" t="str">
        <f>IF('DATI LOGICI'!C34&lt;&gt;"",'DATI LOGICI'!C34,"")</f>
        <v/>
      </c>
      <c r="D36" s="46" t="str">
        <f>IF('DATI LOGICI'!D34&lt;&gt;"",'DATI LOGICI'!D34,"")</f>
        <v/>
      </c>
      <c r="E36" s="46" t="str">
        <f>IF('DATI LOGICI'!E34&lt;&gt;"",'DATI LOGICI'!E34,"")</f>
        <v/>
      </c>
      <c r="F36" s="46" t="str">
        <f>IF('DATI LOGICI'!F34&lt;&gt;"",'DATI LOGICI'!F34,"")</f>
        <v/>
      </c>
      <c r="G36" s="46" t="str">
        <f>IF('DATI LOGICI'!G34&lt;&gt;"",'DATI LOGICI'!G34,"")</f>
        <v/>
      </c>
      <c r="H36" s="46" t="str">
        <f>IF('DATI LOGICI'!H34&lt;&gt;"",'DATI LOGICI'!H34,"")</f>
        <v/>
      </c>
      <c r="I36" s="46" t="str">
        <f>IF('DATI LOGICI'!I34&lt;&gt;"",'DATI LOGICI'!I34,"")</f>
        <v/>
      </c>
    </row>
    <row r="37" spans="1:20" x14ac:dyDescent="0.25">
      <c r="A37" s="46" t="str">
        <f>IF('DATI LOGICI'!A35&lt;&gt;"",'DATI LOGICI'!A35,"")</f>
        <v/>
      </c>
      <c r="B37" s="46" t="str">
        <f>IF('DATI LOGICI'!B35&lt;&gt;"",'DATI LOGICI'!B35,"")</f>
        <v/>
      </c>
      <c r="C37" s="46" t="str">
        <f>IF('DATI LOGICI'!C35&lt;&gt;"",'DATI LOGICI'!C35,"")</f>
        <v/>
      </c>
      <c r="D37" s="46" t="str">
        <f>IF('DATI LOGICI'!D35&lt;&gt;"",'DATI LOGICI'!D35,"")</f>
        <v/>
      </c>
      <c r="E37" s="46" t="str">
        <f>IF('DATI LOGICI'!E35&lt;&gt;"",'DATI LOGICI'!E35,"")</f>
        <v/>
      </c>
      <c r="F37" s="46" t="str">
        <f>IF('DATI LOGICI'!F35&lt;&gt;"",'DATI LOGICI'!F35,"")</f>
        <v/>
      </c>
      <c r="G37" s="46" t="str">
        <f>IF('DATI LOGICI'!G35&lt;&gt;"",'DATI LOGICI'!G35,"")</f>
        <v/>
      </c>
      <c r="H37" s="46" t="str">
        <f>IF('DATI LOGICI'!H35&lt;&gt;"",'DATI LOGICI'!H35,"")</f>
        <v/>
      </c>
      <c r="I37" s="46" t="str">
        <f>IF('DATI LOGICI'!I35&lt;&gt;"",'DATI LOGICI'!I35,"")</f>
        <v/>
      </c>
    </row>
    <row r="38" spans="1:20" x14ac:dyDescent="0.25">
      <c r="A38" s="101" t="s">
        <v>487</v>
      </c>
      <c r="B38" s="102"/>
      <c r="C38" s="102"/>
      <c r="D38" s="102"/>
      <c r="E38" s="102"/>
      <c r="F38" s="102"/>
      <c r="G38" s="102"/>
      <c r="H38" s="102"/>
      <c r="I38" s="102"/>
      <c r="J38" s="103"/>
      <c r="K38" s="101"/>
      <c r="L38" s="102"/>
      <c r="M38" s="102"/>
      <c r="N38" s="102"/>
      <c r="O38" s="102"/>
      <c r="P38" s="102"/>
      <c r="Q38" s="102"/>
      <c r="R38" s="102"/>
      <c r="S38" s="102"/>
      <c r="T38" s="103"/>
    </row>
    <row r="39" spans="1:20" x14ac:dyDescent="0.25">
      <c r="A39" s="15" t="s">
        <v>136</v>
      </c>
      <c r="B39" s="3">
        <v>80</v>
      </c>
      <c r="C39" s="3">
        <v>0</v>
      </c>
      <c r="D39" s="3" t="s">
        <v>137</v>
      </c>
      <c r="E39" s="3"/>
      <c r="F39" s="3"/>
      <c r="G39" s="3"/>
      <c r="H39" s="3"/>
      <c r="I39" s="3" t="s">
        <v>103</v>
      </c>
      <c r="K39" s="3"/>
      <c r="L39" s="1"/>
      <c r="M39" s="1"/>
      <c r="N39" s="1"/>
      <c r="O39" s="1"/>
      <c r="P39" s="1"/>
      <c r="Q39" s="1"/>
      <c r="R39" s="1"/>
      <c r="S39" s="1"/>
      <c r="T39" s="1"/>
    </row>
    <row r="40" spans="1:20" x14ac:dyDescent="0.25">
      <c r="A40" s="15" t="s">
        <v>139</v>
      </c>
      <c r="B40" s="3">
        <v>80</v>
      </c>
      <c r="C40" s="3">
        <v>1</v>
      </c>
      <c r="D40" s="3" t="s">
        <v>140</v>
      </c>
      <c r="E40" s="3"/>
      <c r="F40" s="3">
        <v>0</v>
      </c>
      <c r="G40" s="3">
        <v>1</v>
      </c>
      <c r="H40" s="3"/>
      <c r="I40" s="3" t="s">
        <v>93</v>
      </c>
      <c r="K40" s="3" t="s">
        <v>141</v>
      </c>
      <c r="L40" s="1"/>
      <c r="M40" s="1"/>
      <c r="N40" s="1"/>
      <c r="O40" s="1"/>
      <c r="P40" s="1"/>
      <c r="Q40" s="1"/>
      <c r="R40" s="1"/>
      <c r="S40" s="1"/>
      <c r="T40" s="1"/>
    </row>
    <row r="41" spans="1:20" ht="71.25" x14ac:dyDescent="0.25">
      <c r="A41" s="15" t="s">
        <v>142</v>
      </c>
      <c r="B41" s="3">
        <v>80</v>
      </c>
      <c r="C41" s="3">
        <v>2</v>
      </c>
      <c r="D41" s="3" t="s">
        <v>143</v>
      </c>
      <c r="E41" s="3"/>
      <c r="F41" s="3">
        <v>0</v>
      </c>
      <c r="G41" s="3">
        <v>4</v>
      </c>
      <c r="H41" s="3"/>
      <c r="I41" s="3" t="s">
        <v>93</v>
      </c>
      <c r="K41" s="8" t="s">
        <v>144</v>
      </c>
      <c r="L41" s="1"/>
      <c r="M41" s="1" t="s">
        <v>145</v>
      </c>
      <c r="N41" s="1"/>
      <c r="O41" s="1"/>
      <c r="P41" s="1"/>
      <c r="Q41" s="1"/>
      <c r="R41" s="1"/>
      <c r="S41" s="1"/>
      <c r="T41" s="1"/>
    </row>
    <row r="42" spans="1:20" x14ac:dyDescent="0.25">
      <c r="A42" s="21" t="s">
        <v>146</v>
      </c>
      <c r="B42" s="3">
        <v>80</v>
      </c>
      <c r="C42" s="3">
        <v>3</v>
      </c>
      <c r="D42" s="3" t="s">
        <v>147</v>
      </c>
      <c r="E42" s="3"/>
      <c r="F42" s="3"/>
      <c r="G42" s="3"/>
      <c r="H42" s="3"/>
      <c r="I42" s="3" t="s">
        <v>93</v>
      </c>
      <c r="K42" s="3"/>
      <c r="L42" s="1"/>
      <c r="M42" s="1"/>
      <c r="N42" s="1"/>
      <c r="O42" s="1"/>
      <c r="P42" s="1"/>
      <c r="Q42" s="1"/>
      <c r="R42" s="1"/>
      <c r="S42" s="1"/>
      <c r="T42" s="1"/>
    </row>
    <row r="43" spans="1:20" x14ac:dyDescent="0.25">
      <c r="A43" s="21" t="s">
        <v>148</v>
      </c>
      <c r="B43" s="3">
        <f t="shared" ref="B43:B51" si="0">B40</f>
        <v>80</v>
      </c>
      <c r="C43" s="3">
        <f t="shared" ref="C43:C48" si="1">C42+1</f>
        <v>4</v>
      </c>
      <c r="D43" s="3" t="s">
        <v>147</v>
      </c>
      <c r="E43" s="3"/>
      <c r="F43" s="3"/>
      <c r="G43" s="3"/>
      <c r="H43" s="3"/>
      <c r="I43" s="3" t="s">
        <v>93</v>
      </c>
      <c r="K43" s="3"/>
      <c r="L43" s="17" t="s">
        <v>156</v>
      </c>
      <c r="M43" s="1"/>
      <c r="N43" s="1"/>
      <c r="O43" s="1"/>
      <c r="P43" s="1"/>
      <c r="Q43" s="1"/>
      <c r="R43" s="1"/>
      <c r="S43" s="1"/>
      <c r="T43" s="1"/>
    </row>
    <row r="44" spans="1:20" ht="30" x14ac:dyDescent="0.25">
      <c r="A44" s="21" t="s">
        <v>149</v>
      </c>
      <c r="B44" s="3">
        <f t="shared" si="0"/>
        <v>80</v>
      </c>
      <c r="C44" s="3">
        <f t="shared" si="1"/>
        <v>5</v>
      </c>
      <c r="D44" s="3" t="s">
        <v>140</v>
      </c>
      <c r="E44" s="3"/>
      <c r="F44" s="3"/>
      <c r="G44" s="3"/>
      <c r="H44" s="3"/>
      <c r="I44" s="3" t="s">
        <v>93</v>
      </c>
      <c r="J44" s="8" t="s">
        <v>484</v>
      </c>
      <c r="K44" s="3"/>
      <c r="L44" s="1"/>
      <c r="M44" s="1"/>
      <c r="N44" s="1"/>
      <c r="O44" s="1"/>
      <c r="P44" s="1"/>
      <c r="Q44" s="1"/>
      <c r="R44" s="1"/>
      <c r="S44" s="1"/>
      <c r="T44" s="1"/>
    </row>
    <row r="45" spans="1:20" x14ac:dyDescent="0.25">
      <c r="A45" s="21" t="s">
        <v>150</v>
      </c>
      <c r="B45" s="3">
        <f t="shared" si="0"/>
        <v>80</v>
      </c>
      <c r="C45" s="3">
        <f t="shared" si="1"/>
        <v>6</v>
      </c>
      <c r="D45" s="3" t="s">
        <v>147</v>
      </c>
      <c r="E45" s="3"/>
      <c r="F45" s="3"/>
      <c r="G45" s="3"/>
      <c r="H45" s="3"/>
      <c r="I45" s="3" t="s">
        <v>100</v>
      </c>
      <c r="K45" s="3"/>
      <c r="L45" s="17" t="s">
        <v>156</v>
      </c>
      <c r="M45" s="1"/>
      <c r="N45" s="1"/>
      <c r="O45" s="1"/>
      <c r="P45" s="1"/>
      <c r="Q45" s="1"/>
      <c r="R45" s="1"/>
      <c r="S45" s="1"/>
      <c r="T45" s="1"/>
    </row>
    <row r="46" spans="1:20" x14ac:dyDescent="0.25">
      <c r="A46" s="21" t="s">
        <v>151</v>
      </c>
      <c r="B46" s="3">
        <f t="shared" si="0"/>
        <v>80</v>
      </c>
      <c r="C46" s="3">
        <f t="shared" si="1"/>
        <v>7</v>
      </c>
      <c r="D46" s="3" t="s">
        <v>152</v>
      </c>
      <c r="E46" s="3"/>
      <c r="F46" s="3"/>
      <c r="G46" s="3"/>
      <c r="H46" s="3"/>
      <c r="I46" s="3" t="s">
        <v>100</v>
      </c>
      <c r="K46" s="3"/>
      <c r="L46" s="17" t="s">
        <v>156</v>
      </c>
      <c r="M46" s="1"/>
      <c r="N46" s="1"/>
      <c r="O46" s="1"/>
      <c r="P46" s="1"/>
      <c r="Q46" s="1"/>
      <c r="R46" s="1"/>
      <c r="S46" s="1"/>
      <c r="T46" s="1"/>
    </row>
    <row r="47" spans="1:20" x14ac:dyDescent="0.25">
      <c r="A47" s="21" t="s">
        <v>153</v>
      </c>
      <c r="B47" s="3">
        <f t="shared" si="0"/>
        <v>80</v>
      </c>
      <c r="C47" s="3">
        <f t="shared" si="1"/>
        <v>8</v>
      </c>
      <c r="D47" s="3" t="s">
        <v>147</v>
      </c>
      <c r="E47" s="3"/>
      <c r="F47" s="3"/>
      <c r="G47" s="3"/>
      <c r="H47" s="3"/>
      <c r="I47" s="3" t="s">
        <v>93</v>
      </c>
      <c r="K47" s="3"/>
      <c r="L47" s="1"/>
      <c r="M47" s="109" t="s">
        <v>154</v>
      </c>
      <c r="N47" s="109"/>
      <c r="O47" s="109"/>
      <c r="P47" s="109"/>
      <c r="Q47" s="109"/>
      <c r="R47" s="109"/>
      <c r="S47" s="109"/>
      <c r="T47" s="1"/>
    </row>
    <row r="48" spans="1:20" x14ac:dyDescent="0.25">
      <c r="A48" s="21" t="s">
        <v>155</v>
      </c>
      <c r="B48" s="3">
        <f t="shared" si="0"/>
        <v>80</v>
      </c>
      <c r="C48" s="3">
        <f t="shared" si="1"/>
        <v>9</v>
      </c>
      <c r="D48" s="3" t="s">
        <v>147</v>
      </c>
      <c r="E48" s="3"/>
      <c r="F48" s="3"/>
      <c r="G48" s="3"/>
      <c r="H48" s="3"/>
      <c r="I48" s="3" t="s">
        <v>93</v>
      </c>
      <c r="K48" s="3"/>
      <c r="L48" s="17" t="s">
        <v>156</v>
      </c>
      <c r="M48" s="109"/>
      <c r="N48" s="109"/>
      <c r="O48" s="109"/>
      <c r="P48" s="109"/>
      <c r="Q48" s="109"/>
      <c r="R48" s="109"/>
      <c r="S48" s="109"/>
      <c r="T48" s="1"/>
    </row>
    <row r="49" spans="1:20" x14ac:dyDescent="0.25">
      <c r="A49" s="21" t="s">
        <v>157</v>
      </c>
      <c r="B49" s="3">
        <f t="shared" si="0"/>
        <v>80</v>
      </c>
      <c r="C49" s="3" t="s">
        <v>55</v>
      </c>
      <c r="D49" s="3" t="s">
        <v>140</v>
      </c>
      <c r="E49" s="3"/>
      <c r="F49" s="3"/>
      <c r="G49" s="3"/>
      <c r="H49" s="3"/>
      <c r="I49" s="3" t="s">
        <v>93</v>
      </c>
      <c r="J49" s="3" t="s">
        <v>479</v>
      </c>
      <c r="K49" s="3"/>
      <c r="L49" s="1"/>
      <c r="M49" s="109"/>
      <c r="N49" s="109"/>
      <c r="O49" s="109"/>
      <c r="P49" s="109"/>
      <c r="Q49" s="109"/>
      <c r="R49" s="109"/>
      <c r="S49" s="109"/>
      <c r="T49" s="1"/>
    </row>
    <row r="50" spans="1:20" x14ac:dyDescent="0.25">
      <c r="A50" s="21" t="s">
        <v>158</v>
      </c>
      <c r="B50" s="3">
        <f t="shared" si="0"/>
        <v>80</v>
      </c>
      <c r="C50" s="3" t="s">
        <v>57</v>
      </c>
      <c r="D50" s="3" t="s">
        <v>147</v>
      </c>
      <c r="E50" s="3"/>
      <c r="F50" s="3"/>
      <c r="G50" s="3"/>
      <c r="H50" s="3"/>
      <c r="I50" s="3" t="s">
        <v>100</v>
      </c>
      <c r="J50" s="3" t="s">
        <v>479</v>
      </c>
      <c r="K50" s="3"/>
      <c r="L50" s="17" t="s">
        <v>156</v>
      </c>
      <c r="M50" s="109"/>
      <c r="N50" s="109"/>
      <c r="O50" s="109"/>
      <c r="P50" s="109"/>
      <c r="Q50" s="109"/>
      <c r="R50" s="109"/>
      <c r="S50" s="109"/>
      <c r="T50" s="1"/>
    </row>
    <row r="51" spans="1:20" x14ac:dyDescent="0.25">
      <c r="A51" s="21" t="s">
        <v>159</v>
      </c>
      <c r="B51" s="3">
        <f t="shared" si="0"/>
        <v>80</v>
      </c>
      <c r="C51" s="3" t="s">
        <v>58</v>
      </c>
      <c r="D51" s="3" t="s">
        <v>152</v>
      </c>
      <c r="E51" s="3"/>
      <c r="F51" s="3"/>
      <c r="G51" s="3"/>
      <c r="H51" s="3"/>
      <c r="I51" s="3" t="s">
        <v>100</v>
      </c>
      <c r="J51" s="3" t="s">
        <v>479</v>
      </c>
      <c r="K51" s="3"/>
      <c r="L51" s="17" t="s">
        <v>156</v>
      </c>
      <c r="M51" s="109"/>
      <c r="N51" s="109"/>
      <c r="O51" s="109"/>
      <c r="P51" s="109"/>
      <c r="Q51" s="109"/>
      <c r="R51" s="109"/>
      <c r="S51" s="109"/>
      <c r="T51" s="1"/>
    </row>
    <row r="52" spans="1:20" x14ac:dyDescent="0.25">
      <c r="A52" s="21" t="s">
        <v>160</v>
      </c>
      <c r="B52" s="3">
        <v>80</v>
      </c>
      <c r="C52" s="3" t="s">
        <v>60</v>
      </c>
      <c r="D52" s="3" t="s">
        <v>147</v>
      </c>
      <c r="E52" s="3"/>
      <c r="F52" s="3"/>
      <c r="G52" s="3"/>
      <c r="H52" s="3"/>
      <c r="I52" s="3" t="s">
        <v>93</v>
      </c>
      <c r="J52" s="3" t="s">
        <v>479</v>
      </c>
      <c r="K52" s="3"/>
      <c r="L52" s="1"/>
      <c r="M52" s="109"/>
      <c r="N52" s="109"/>
      <c r="O52" s="109"/>
      <c r="P52" s="109"/>
      <c r="Q52" s="109"/>
      <c r="R52" s="109"/>
      <c r="S52" s="109"/>
      <c r="T52" s="1"/>
    </row>
    <row r="53" spans="1:20" x14ac:dyDescent="0.25">
      <c r="A53" s="21" t="s">
        <v>161</v>
      </c>
      <c r="B53" s="3">
        <v>80</v>
      </c>
      <c r="C53" s="3" t="s">
        <v>63</v>
      </c>
      <c r="D53" s="3" t="s">
        <v>147</v>
      </c>
      <c r="E53" s="3"/>
      <c r="F53" s="3"/>
      <c r="G53" s="3"/>
      <c r="H53" s="3"/>
      <c r="I53" s="3" t="s">
        <v>93</v>
      </c>
      <c r="K53" s="3"/>
      <c r="L53" s="17" t="s">
        <v>156</v>
      </c>
      <c r="M53" s="109"/>
      <c r="N53" s="109"/>
      <c r="O53" s="109"/>
      <c r="P53" s="109"/>
      <c r="Q53" s="109"/>
      <c r="R53" s="109"/>
      <c r="S53" s="109"/>
      <c r="T53" s="1"/>
    </row>
    <row r="54" spans="1:20" x14ac:dyDescent="0.25">
      <c r="A54" s="21" t="s">
        <v>162</v>
      </c>
      <c r="B54" s="3">
        <v>80</v>
      </c>
      <c r="C54" s="3" t="s">
        <v>65</v>
      </c>
      <c r="D54" s="3" t="s">
        <v>140</v>
      </c>
      <c r="E54" s="3"/>
      <c r="F54" s="3"/>
      <c r="G54" s="3"/>
      <c r="H54" s="3"/>
      <c r="I54" s="3" t="s">
        <v>93</v>
      </c>
      <c r="K54" s="3"/>
      <c r="L54" s="1"/>
      <c r="M54" s="109"/>
      <c r="N54" s="109"/>
      <c r="O54" s="109"/>
      <c r="P54" s="109"/>
      <c r="Q54" s="109"/>
      <c r="R54" s="109"/>
      <c r="S54" s="109"/>
      <c r="T54" s="1"/>
    </row>
    <row r="55" spans="1:20" x14ac:dyDescent="0.25">
      <c r="A55" s="21" t="s">
        <v>163</v>
      </c>
      <c r="B55" s="3">
        <v>80</v>
      </c>
      <c r="C55" s="3">
        <v>10</v>
      </c>
      <c r="D55" s="3" t="s">
        <v>147</v>
      </c>
      <c r="E55" s="3"/>
      <c r="F55" s="3"/>
      <c r="G55" s="3"/>
      <c r="H55" s="3"/>
      <c r="I55" s="3" t="s">
        <v>100</v>
      </c>
      <c r="K55" s="3"/>
      <c r="L55" s="17" t="s">
        <v>156</v>
      </c>
      <c r="M55" s="109"/>
      <c r="N55" s="109"/>
      <c r="O55" s="109"/>
      <c r="P55" s="109"/>
      <c r="Q55" s="109"/>
      <c r="R55" s="109"/>
      <c r="S55" s="109"/>
      <c r="T55" s="1"/>
    </row>
    <row r="56" spans="1:20" x14ac:dyDescent="0.25">
      <c r="A56" s="21" t="s">
        <v>164</v>
      </c>
      <c r="B56" s="3">
        <v>80</v>
      </c>
      <c r="C56" s="3">
        <f t="shared" ref="C56:C64" si="2">C55+1</f>
        <v>11</v>
      </c>
      <c r="D56" s="3" t="s">
        <v>165</v>
      </c>
      <c r="E56" s="3"/>
      <c r="F56" s="3"/>
      <c r="G56" s="3"/>
      <c r="H56" s="3"/>
      <c r="I56" s="3" t="s">
        <v>100</v>
      </c>
      <c r="K56" s="3"/>
      <c r="L56" s="17" t="s">
        <v>156</v>
      </c>
      <c r="M56" s="109"/>
      <c r="N56" s="109"/>
      <c r="O56" s="109"/>
      <c r="P56" s="109"/>
      <c r="Q56" s="109"/>
      <c r="R56" s="109"/>
      <c r="S56" s="109"/>
      <c r="T56" s="1"/>
    </row>
    <row r="57" spans="1:20" x14ac:dyDescent="0.25">
      <c r="A57" s="21" t="s">
        <v>166</v>
      </c>
      <c r="B57" s="3">
        <v>80</v>
      </c>
      <c r="C57" s="3">
        <f t="shared" si="2"/>
        <v>12</v>
      </c>
      <c r="D57" s="3" t="s">
        <v>147</v>
      </c>
      <c r="E57" s="3"/>
      <c r="F57" s="3"/>
      <c r="G57" s="3"/>
      <c r="H57" s="3"/>
      <c r="I57" s="3" t="s">
        <v>93</v>
      </c>
      <c r="K57" s="3"/>
      <c r="L57" s="1"/>
      <c r="M57" s="109"/>
      <c r="N57" s="109"/>
      <c r="O57" s="109"/>
      <c r="P57" s="109"/>
      <c r="Q57" s="109"/>
      <c r="R57" s="109"/>
      <c r="S57" s="109"/>
      <c r="T57" s="1"/>
    </row>
    <row r="58" spans="1:20" x14ac:dyDescent="0.25">
      <c r="A58" s="15" t="s">
        <v>167</v>
      </c>
      <c r="B58" s="3">
        <v>80</v>
      </c>
      <c r="C58" s="3">
        <f t="shared" si="2"/>
        <v>13</v>
      </c>
      <c r="D58" s="3" t="s">
        <v>92</v>
      </c>
      <c r="E58" s="3"/>
      <c r="F58" s="3"/>
      <c r="G58" s="3"/>
      <c r="H58" s="3"/>
      <c r="I58" s="3" t="s">
        <v>93</v>
      </c>
      <c r="K58" s="3"/>
      <c r="L58" s="1"/>
      <c r="M58" s="1"/>
      <c r="N58" s="1"/>
      <c r="O58" s="1"/>
      <c r="P58" s="1"/>
      <c r="Q58" s="1"/>
      <c r="R58" s="1"/>
      <c r="S58" s="1"/>
      <c r="T58" s="1"/>
    </row>
    <row r="59" spans="1:20" x14ac:dyDescent="0.25">
      <c r="A59" s="21" t="s">
        <v>168</v>
      </c>
      <c r="B59" s="3">
        <v>80</v>
      </c>
      <c r="C59" s="3">
        <f t="shared" si="2"/>
        <v>14</v>
      </c>
      <c r="D59" s="3" t="s">
        <v>99</v>
      </c>
      <c r="E59" s="3"/>
      <c r="F59" s="3"/>
      <c r="G59" s="3"/>
      <c r="H59" s="3"/>
      <c r="I59" s="3" t="s">
        <v>100</v>
      </c>
      <c r="K59" s="3"/>
      <c r="L59" s="17" t="s">
        <v>156</v>
      </c>
      <c r="M59" s="1" t="s">
        <v>169</v>
      </c>
      <c r="N59" s="1"/>
      <c r="O59" s="1"/>
      <c r="P59" s="1"/>
      <c r="Q59" s="1"/>
      <c r="R59" s="1"/>
      <c r="S59" s="1"/>
      <c r="T59" s="1"/>
    </row>
    <row r="60" spans="1:20" x14ac:dyDescent="0.25">
      <c r="A60" s="21" t="s">
        <v>170</v>
      </c>
      <c r="B60" s="3">
        <v>80</v>
      </c>
      <c r="C60" s="3">
        <f t="shared" si="2"/>
        <v>15</v>
      </c>
      <c r="D60" s="3" t="s">
        <v>99</v>
      </c>
      <c r="E60" s="3"/>
      <c r="F60" s="3"/>
      <c r="G60" s="3"/>
      <c r="H60" s="3"/>
      <c r="I60" s="3" t="s">
        <v>100</v>
      </c>
      <c r="K60" s="3"/>
      <c r="L60" s="17" t="s">
        <v>156</v>
      </c>
      <c r="M60" s="1" t="s">
        <v>171</v>
      </c>
      <c r="N60" s="1"/>
      <c r="O60" s="1"/>
      <c r="P60" s="1"/>
      <c r="Q60" s="1"/>
      <c r="R60" s="1"/>
      <c r="S60" s="1"/>
      <c r="T60" s="1"/>
    </row>
    <row r="61" spans="1:20" x14ac:dyDescent="0.25">
      <c r="A61" s="21" t="s">
        <v>172</v>
      </c>
      <c r="B61" s="3">
        <v>80</v>
      </c>
      <c r="C61" s="3">
        <f t="shared" si="2"/>
        <v>16</v>
      </c>
      <c r="D61" s="3" t="s">
        <v>92</v>
      </c>
      <c r="E61" s="3"/>
      <c r="F61" s="3"/>
      <c r="G61" s="3"/>
      <c r="H61" s="3"/>
      <c r="I61" s="3" t="s">
        <v>100</v>
      </c>
      <c r="K61" s="3"/>
      <c r="L61" s="1"/>
      <c r="M61" s="1"/>
      <c r="N61" s="1"/>
      <c r="O61" s="1"/>
      <c r="P61" s="1"/>
      <c r="Q61" s="1"/>
      <c r="R61" s="1"/>
      <c r="S61" s="1"/>
      <c r="T61" s="1"/>
    </row>
    <row r="62" spans="1:20" x14ac:dyDescent="0.25">
      <c r="A62" s="21" t="s">
        <v>173</v>
      </c>
      <c r="B62" s="3">
        <v>80</v>
      </c>
      <c r="C62" s="3">
        <f t="shared" si="2"/>
        <v>17</v>
      </c>
      <c r="D62" s="3" t="s">
        <v>165</v>
      </c>
      <c r="E62" s="3"/>
      <c r="F62" s="3"/>
      <c r="G62" s="3"/>
      <c r="H62" s="3"/>
      <c r="I62" s="3" t="s">
        <v>100</v>
      </c>
      <c r="K62" s="3"/>
      <c r="L62" s="1"/>
      <c r="M62" s="1" t="s">
        <v>174</v>
      </c>
      <c r="N62" s="1"/>
      <c r="O62" s="1"/>
      <c r="P62" s="1"/>
      <c r="Q62" s="1"/>
      <c r="R62" s="1"/>
      <c r="S62" s="1"/>
      <c r="T62" s="1"/>
    </row>
    <row r="63" spans="1:20" x14ac:dyDescent="0.25">
      <c r="B63" s="3">
        <v>80</v>
      </c>
      <c r="C63" s="3">
        <f t="shared" si="2"/>
        <v>18</v>
      </c>
    </row>
    <row r="64" spans="1:20" x14ac:dyDescent="0.25">
      <c r="B64" s="3">
        <v>80</v>
      </c>
      <c r="C64" s="3">
        <f t="shared" si="2"/>
        <v>19</v>
      </c>
    </row>
    <row r="65" spans="1:20" x14ac:dyDescent="0.25">
      <c r="B65" s="3">
        <v>80</v>
      </c>
      <c r="C65" s="46" t="s">
        <v>341</v>
      </c>
    </row>
    <row r="66" spans="1:20" x14ac:dyDescent="0.25">
      <c r="B66" s="3">
        <v>80</v>
      </c>
      <c r="C66" s="46" t="s">
        <v>488</v>
      </c>
    </row>
    <row r="67" spans="1:20" x14ac:dyDescent="0.25">
      <c r="B67" s="3">
        <v>80</v>
      </c>
      <c r="C67" s="46" t="s">
        <v>489</v>
      </c>
    </row>
    <row r="68" spans="1:20" x14ac:dyDescent="0.25">
      <c r="B68" s="3">
        <v>80</v>
      </c>
      <c r="C68" s="46" t="s">
        <v>490</v>
      </c>
    </row>
    <row r="69" spans="1:20" x14ac:dyDescent="0.25">
      <c r="B69" s="3"/>
    </row>
    <row r="70" spans="1:20" x14ac:dyDescent="0.25">
      <c r="B70" s="3"/>
    </row>
    <row r="71" spans="1:20" x14ac:dyDescent="0.25">
      <c r="A71" s="21" t="s">
        <v>175</v>
      </c>
      <c r="B71" s="3">
        <v>80</v>
      </c>
      <c r="C71" s="3" t="s">
        <v>176</v>
      </c>
      <c r="D71" s="3" t="s">
        <v>131</v>
      </c>
      <c r="E71" s="3"/>
      <c r="F71" s="3"/>
      <c r="G71" s="3"/>
      <c r="H71" s="3"/>
      <c r="I71" s="3" t="s">
        <v>100</v>
      </c>
      <c r="K71" s="1"/>
      <c r="L71" s="1"/>
      <c r="M71" s="1"/>
      <c r="N71" s="1"/>
      <c r="O71" s="1"/>
      <c r="P71" s="1"/>
      <c r="Q71" s="1"/>
      <c r="R71" s="1"/>
      <c r="S71" s="1"/>
      <c r="T71" s="1"/>
    </row>
    <row r="72" spans="1:20" x14ac:dyDescent="0.25">
      <c r="A72" s="21" t="s">
        <v>178</v>
      </c>
      <c r="B72" s="3">
        <v>80</v>
      </c>
      <c r="C72" s="3" t="s">
        <v>179</v>
      </c>
      <c r="D72" s="3" t="s">
        <v>137</v>
      </c>
      <c r="E72" s="3"/>
      <c r="F72" s="3"/>
      <c r="G72" s="3"/>
      <c r="H72" s="3"/>
      <c r="I72" s="3" t="s">
        <v>93</v>
      </c>
      <c r="K72" s="1"/>
      <c r="L72" s="1"/>
      <c r="M72" s="1"/>
      <c r="N72" s="1"/>
      <c r="O72" s="1"/>
      <c r="P72" s="1"/>
      <c r="Q72" s="1"/>
      <c r="R72" s="1"/>
      <c r="S72" s="1"/>
      <c r="T72" s="1"/>
    </row>
    <row r="73" spans="1:20" x14ac:dyDescent="0.25">
      <c r="A73" s="21" t="s">
        <v>181</v>
      </c>
      <c r="B73" s="3">
        <v>80</v>
      </c>
      <c r="C73" s="3">
        <v>30</v>
      </c>
      <c r="D73" s="3" t="s">
        <v>137</v>
      </c>
      <c r="E73" s="3"/>
      <c r="F73" s="3"/>
      <c r="G73" s="3"/>
      <c r="H73" s="3"/>
      <c r="I73" s="3" t="s">
        <v>93</v>
      </c>
      <c r="K73" s="3"/>
      <c r="L73" s="1"/>
      <c r="M73" s="1"/>
      <c r="N73" s="1"/>
      <c r="O73" s="1"/>
      <c r="P73" s="1"/>
      <c r="Q73" s="1"/>
      <c r="R73" s="1"/>
      <c r="S73" s="1"/>
      <c r="T73" s="1"/>
    </row>
    <row r="74" spans="1:20" x14ac:dyDescent="0.25">
      <c r="A74" s="15" t="s">
        <v>204</v>
      </c>
      <c r="B74" s="3">
        <v>80</v>
      </c>
      <c r="C74" s="3">
        <v>31</v>
      </c>
      <c r="D74" s="3" t="s">
        <v>92</v>
      </c>
      <c r="E74" s="3"/>
      <c r="F74" s="3"/>
      <c r="G74" s="3"/>
      <c r="H74" s="3"/>
      <c r="I74" s="3" t="s">
        <v>93</v>
      </c>
      <c r="K74" s="3"/>
      <c r="L74" s="1"/>
      <c r="M74" s="1"/>
      <c r="N74" s="1"/>
      <c r="O74" s="1"/>
      <c r="P74" s="1"/>
      <c r="Q74" s="1"/>
      <c r="R74" s="1"/>
      <c r="S74" s="1"/>
      <c r="T74" s="1"/>
    </row>
    <row r="75" spans="1:20" x14ac:dyDescent="0.25">
      <c r="A75" s="15" t="s">
        <v>183</v>
      </c>
      <c r="B75" s="3">
        <v>80</v>
      </c>
      <c r="C75" s="3">
        <v>32</v>
      </c>
      <c r="D75" s="3" t="s">
        <v>165</v>
      </c>
      <c r="E75" s="3"/>
      <c r="F75" s="3"/>
      <c r="G75" s="3"/>
      <c r="H75" s="3"/>
      <c r="I75" s="3" t="s">
        <v>93</v>
      </c>
      <c r="K75" s="3" t="s">
        <v>129</v>
      </c>
      <c r="L75" s="1"/>
      <c r="M75" s="1"/>
      <c r="N75" s="1"/>
      <c r="O75" s="1"/>
      <c r="P75" s="1"/>
      <c r="Q75" s="1"/>
      <c r="R75" s="1"/>
      <c r="S75" s="1"/>
      <c r="T75" s="1"/>
    </row>
    <row r="76" spans="1:20" x14ac:dyDescent="0.25">
      <c r="A76" s="15" t="s">
        <v>184</v>
      </c>
      <c r="B76" s="3">
        <v>80</v>
      </c>
      <c r="C76" s="3">
        <v>33</v>
      </c>
      <c r="D76" s="3" t="s">
        <v>165</v>
      </c>
      <c r="E76" s="3"/>
      <c r="F76" s="3"/>
      <c r="G76" s="3"/>
      <c r="H76" s="3"/>
      <c r="I76" s="3" t="s">
        <v>93</v>
      </c>
      <c r="K76" s="3"/>
      <c r="L76" s="1"/>
      <c r="M76" s="1"/>
      <c r="N76" s="1"/>
      <c r="O76" s="1"/>
      <c r="P76" s="1"/>
      <c r="Q76" s="1"/>
      <c r="R76" s="1"/>
      <c r="S76" s="1"/>
      <c r="T76" s="1"/>
    </row>
    <row r="77" spans="1:20" x14ac:dyDescent="0.25">
      <c r="A77" s="15" t="s">
        <v>185</v>
      </c>
      <c r="B77" s="3">
        <v>80</v>
      </c>
      <c r="C77" s="3">
        <v>34</v>
      </c>
      <c r="D77" s="3" t="s">
        <v>165</v>
      </c>
      <c r="E77" s="3"/>
      <c r="F77" s="3"/>
      <c r="G77" s="3"/>
      <c r="H77" s="3"/>
      <c r="I77" s="3" t="s">
        <v>93</v>
      </c>
      <c r="K77" s="106"/>
      <c r="L77" s="106"/>
      <c r="M77" s="106"/>
      <c r="N77" s="106"/>
      <c r="O77" s="106"/>
      <c r="P77" s="106"/>
      <c r="Q77" s="106"/>
      <c r="R77" s="106"/>
      <c r="S77" s="106"/>
      <c r="T77" s="106"/>
    </row>
    <row r="78" spans="1:20" ht="60" x14ac:dyDescent="0.25">
      <c r="A78" s="21" t="s">
        <v>186</v>
      </c>
      <c r="B78" s="3">
        <v>80</v>
      </c>
      <c r="C78" s="3">
        <v>35</v>
      </c>
      <c r="D78" s="3" t="s">
        <v>165</v>
      </c>
      <c r="E78" s="3"/>
      <c r="F78" s="3"/>
      <c r="G78" s="3"/>
      <c r="H78" s="3"/>
      <c r="I78" s="3" t="s">
        <v>93</v>
      </c>
      <c r="K78" s="8" t="s">
        <v>177</v>
      </c>
      <c r="L78" s="17" t="s">
        <v>205</v>
      </c>
      <c r="M78" s="1" t="s">
        <v>206</v>
      </c>
      <c r="N78" s="1"/>
      <c r="O78" s="1"/>
      <c r="P78" s="1"/>
      <c r="Q78" s="1"/>
      <c r="R78" s="1"/>
      <c r="S78" s="1"/>
      <c r="T78" s="1"/>
    </row>
    <row r="79" spans="1:20" x14ac:dyDescent="0.25">
      <c r="A79" s="21" t="s">
        <v>201</v>
      </c>
      <c r="B79" s="3">
        <v>80</v>
      </c>
      <c r="C79" s="3">
        <v>36</v>
      </c>
      <c r="D79" s="3" t="s">
        <v>99</v>
      </c>
      <c r="E79" s="3"/>
      <c r="F79" s="3"/>
      <c r="G79" s="3"/>
      <c r="H79" s="3"/>
      <c r="I79" s="3" t="s">
        <v>100</v>
      </c>
      <c r="K79" s="3" t="s">
        <v>180</v>
      </c>
      <c r="L79" s="1"/>
      <c r="M79" s="1" t="s">
        <v>207</v>
      </c>
      <c r="N79" s="1"/>
      <c r="O79" s="1"/>
      <c r="P79" s="1"/>
      <c r="Q79" s="1"/>
      <c r="R79" s="1"/>
      <c r="S79" s="1"/>
      <c r="T79" s="1"/>
    </row>
    <row r="80" spans="1:20" x14ac:dyDescent="0.25">
      <c r="A80" s="15" t="s">
        <v>208</v>
      </c>
      <c r="B80" s="3">
        <v>80</v>
      </c>
      <c r="C80" s="3">
        <v>37</v>
      </c>
      <c r="D80" s="3" t="s">
        <v>140</v>
      </c>
      <c r="E80" s="3"/>
      <c r="F80" s="3"/>
      <c r="G80" s="3"/>
      <c r="H80" s="3"/>
      <c r="I80" s="3" t="s">
        <v>100</v>
      </c>
      <c r="K80" s="3" t="s">
        <v>209</v>
      </c>
      <c r="L80" s="1"/>
      <c r="M80" s="1" t="s">
        <v>210</v>
      </c>
      <c r="N80" s="1"/>
      <c r="O80" s="1"/>
      <c r="P80" s="1"/>
      <c r="Q80" s="1"/>
      <c r="R80" s="1"/>
      <c r="S80" s="1"/>
      <c r="T80" s="1"/>
    </row>
    <row r="81" spans="1:20" x14ac:dyDescent="0.25">
      <c r="A81" s="3"/>
      <c r="B81" s="3"/>
      <c r="C81" s="3"/>
      <c r="D81" s="3"/>
      <c r="E81" s="3"/>
      <c r="F81" s="3"/>
      <c r="G81" s="3"/>
      <c r="H81" s="3"/>
      <c r="I81" s="3"/>
      <c r="K81" s="3" t="s">
        <v>211</v>
      </c>
      <c r="L81" s="1"/>
      <c r="M81" s="1" t="s">
        <v>212</v>
      </c>
      <c r="N81" s="1"/>
      <c r="O81" s="1"/>
      <c r="P81" s="1"/>
      <c r="Q81" s="1"/>
      <c r="R81" s="1"/>
      <c r="S81" s="1"/>
      <c r="T81" s="1"/>
    </row>
    <row r="82" spans="1:20" x14ac:dyDescent="0.25">
      <c r="A82" s="3"/>
      <c r="B82" s="3"/>
      <c r="C82" s="3"/>
      <c r="D82" s="3"/>
      <c r="E82" s="3"/>
      <c r="F82" s="3"/>
      <c r="G82" s="3"/>
      <c r="H82" s="3"/>
      <c r="I82" s="3"/>
      <c r="K82" s="3"/>
      <c r="L82" s="17" t="s">
        <v>116</v>
      </c>
      <c r="M82" s="1"/>
      <c r="N82" s="1"/>
      <c r="O82" s="1"/>
      <c r="P82" s="1"/>
      <c r="Q82" s="1"/>
      <c r="R82" s="1"/>
      <c r="S82" s="1"/>
      <c r="T82" s="1"/>
    </row>
    <row r="83" spans="1:20" x14ac:dyDescent="0.25">
      <c r="A83" s="3"/>
      <c r="B83" s="3"/>
      <c r="C83" s="3"/>
      <c r="D83" s="3"/>
      <c r="E83" s="3"/>
      <c r="F83" s="3"/>
      <c r="G83" s="3"/>
      <c r="H83" s="3"/>
      <c r="I83" s="3"/>
      <c r="K83" s="3"/>
      <c r="L83" s="17" t="s">
        <v>116</v>
      </c>
      <c r="M83" s="1"/>
      <c r="N83" s="1"/>
      <c r="O83" s="1"/>
      <c r="P83" s="1"/>
      <c r="Q83" s="1"/>
      <c r="R83" s="1"/>
      <c r="S83" s="1"/>
      <c r="T83" s="1"/>
    </row>
    <row r="84" spans="1:20" x14ac:dyDescent="0.25">
      <c r="A84" s="3"/>
      <c r="B84" s="3"/>
      <c r="C84" s="3"/>
      <c r="D84" s="3"/>
      <c r="E84" s="3"/>
      <c r="F84" s="3"/>
      <c r="G84" s="3"/>
      <c r="H84" s="3"/>
      <c r="I84" s="3"/>
      <c r="K84" s="3"/>
      <c r="L84" s="17" t="s">
        <v>116</v>
      </c>
      <c r="M84" s="1"/>
      <c r="N84" s="1"/>
      <c r="O84" s="1"/>
      <c r="P84" s="1"/>
      <c r="Q84" s="1"/>
      <c r="R84" s="1"/>
      <c r="S84" s="1"/>
      <c r="T84" s="1"/>
    </row>
    <row r="85" spans="1:20" x14ac:dyDescent="0.25">
      <c r="A85" s="3"/>
      <c r="B85" s="3"/>
      <c r="C85" s="3"/>
      <c r="D85" s="3"/>
      <c r="E85" s="3"/>
      <c r="F85" s="3"/>
      <c r="G85" s="3"/>
      <c r="H85" s="3"/>
      <c r="I85" s="3"/>
      <c r="K85" s="3"/>
      <c r="L85" s="17" t="s">
        <v>116</v>
      </c>
      <c r="M85" s="1"/>
      <c r="N85" s="1"/>
      <c r="O85" s="1"/>
      <c r="P85" s="1"/>
      <c r="Q85" s="1"/>
      <c r="R85" s="1"/>
      <c r="S85" s="1"/>
      <c r="T85" s="1"/>
    </row>
    <row r="86" spans="1:20" x14ac:dyDescent="0.25">
      <c r="A86" s="3"/>
      <c r="B86" s="3"/>
      <c r="C86" s="3"/>
      <c r="D86" s="3"/>
      <c r="E86" s="3"/>
      <c r="F86" s="3"/>
      <c r="G86" s="3"/>
      <c r="H86" s="3"/>
      <c r="I86" s="3"/>
      <c r="K86" s="8"/>
      <c r="L86" s="17" t="s">
        <v>116</v>
      </c>
      <c r="M86" s="1"/>
      <c r="N86" s="1"/>
      <c r="O86" s="1"/>
      <c r="P86" s="1"/>
      <c r="Q86" s="1"/>
      <c r="R86" s="1"/>
      <c r="S86" s="1"/>
      <c r="T86" s="1"/>
    </row>
  </sheetData>
  <mergeCells count="8">
    <mergeCell ref="K77:T77"/>
    <mergeCell ref="K38:T38"/>
    <mergeCell ref="M47:S57"/>
    <mergeCell ref="A1:J1"/>
    <mergeCell ref="A4:J4"/>
    <mergeCell ref="K4:T4"/>
    <mergeCell ref="B3:C3"/>
    <mergeCell ref="A38:J3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4"/>
  <sheetViews>
    <sheetView zoomScale="80" zoomScaleNormal="80" workbookViewId="0">
      <pane ySplit="3" topLeftCell="A4" activePane="bottomLeft" state="frozen"/>
      <selection pane="bottomLeft" activeCell="A47" sqref="A47"/>
    </sheetView>
  </sheetViews>
  <sheetFormatPr defaultColWidth="8.5703125" defaultRowHeight="15" x14ac:dyDescent="0.25"/>
  <cols>
    <col min="1" max="1" width="52.7109375" customWidth="1"/>
    <col min="2" max="2" width="17" customWidth="1"/>
    <col min="3" max="3" width="16.5703125" customWidth="1"/>
    <col min="4" max="4" width="44.7109375" customWidth="1"/>
    <col min="5" max="5" width="10.28515625" customWidth="1"/>
    <col min="6" max="6" width="8.7109375" customWidth="1"/>
    <col min="7" max="7" width="10" customWidth="1"/>
    <col min="8" max="8" width="17.5703125" customWidth="1"/>
    <col min="9" max="9" width="4.7109375" customWidth="1"/>
    <col min="10" max="10" width="47" customWidth="1"/>
    <col min="11" max="11" width="47.28515625" customWidth="1"/>
  </cols>
  <sheetData>
    <row r="1" spans="1:21" x14ac:dyDescent="0.25">
      <c r="A1" s="104" t="s">
        <v>765</v>
      </c>
      <c r="B1" s="104"/>
      <c r="C1" s="104"/>
      <c r="D1" s="104"/>
      <c r="E1" s="104"/>
      <c r="F1" s="104"/>
      <c r="G1" s="104"/>
      <c r="H1" s="104"/>
      <c r="I1" s="104"/>
      <c r="J1" s="104"/>
    </row>
    <row r="2" spans="1:21" x14ac:dyDescent="0.25">
      <c r="A2" s="3" t="s">
        <v>845</v>
      </c>
      <c r="B2" s="1"/>
      <c r="C2" s="1"/>
      <c r="D2" s="1"/>
      <c r="E2" s="1"/>
      <c r="F2" s="1"/>
      <c r="G2" s="1"/>
      <c r="H2" s="1"/>
      <c r="I2" s="1"/>
      <c r="J2" s="3"/>
    </row>
    <row r="3" spans="1:21" x14ac:dyDescent="0.25">
      <c r="A3" s="10" t="s">
        <v>844</v>
      </c>
      <c r="B3" s="5" t="s">
        <v>80</v>
      </c>
      <c r="C3" s="5" t="s">
        <v>81</v>
      </c>
      <c r="D3" s="2" t="s">
        <v>82</v>
      </c>
      <c r="E3" s="11" t="s">
        <v>83</v>
      </c>
      <c r="F3" s="12" t="s">
        <v>84</v>
      </c>
      <c r="G3" s="12" t="s">
        <v>85</v>
      </c>
      <c r="H3" s="13" t="s">
        <v>86</v>
      </c>
      <c r="I3" s="14" t="s">
        <v>87</v>
      </c>
      <c r="J3" s="3" t="s">
        <v>134</v>
      </c>
      <c r="K3" s="1"/>
      <c r="L3" s="1"/>
      <c r="M3" s="1"/>
      <c r="N3" s="1"/>
      <c r="O3" s="1"/>
      <c r="P3" s="1"/>
      <c r="Q3" s="1"/>
      <c r="R3" s="1"/>
      <c r="S3" s="1"/>
    </row>
    <row r="4" spans="1:21" x14ac:dyDescent="0.25">
      <c r="A4" s="39" t="s">
        <v>88</v>
      </c>
      <c r="B4" s="53"/>
      <c r="C4" s="53"/>
      <c r="D4" s="53"/>
      <c r="E4" s="53"/>
      <c r="F4" s="53"/>
      <c r="G4" s="53"/>
      <c r="H4" s="53"/>
      <c r="I4" s="53"/>
      <c r="J4" s="74"/>
      <c r="K4" s="101"/>
      <c r="L4" s="102"/>
      <c r="M4" s="102"/>
      <c r="N4" s="102"/>
      <c r="O4" s="102"/>
      <c r="P4" s="102"/>
      <c r="Q4" s="102"/>
      <c r="R4" s="102"/>
      <c r="S4" s="102"/>
      <c r="T4" s="103"/>
      <c r="U4" s="80"/>
    </row>
    <row r="5" spans="1:2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c r="U5" s="80"/>
    </row>
    <row r="6" spans="1:2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c r="U6" s="80"/>
    </row>
    <row r="7" spans="1:2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c r="L7" s="3"/>
      <c r="M7" s="3"/>
      <c r="N7" s="3"/>
      <c r="O7" s="3"/>
      <c r="P7" s="3"/>
      <c r="Q7" s="3"/>
      <c r="R7" s="3"/>
      <c r="S7" s="3"/>
      <c r="T7" s="3"/>
      <c r="U7" s="80"/>
    </row>
    <row r="8" spans="1:2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
        <v>93</v>
      </c>
      <c r="J8" s="3"/>
      <c r="K8" s="3"/>
      <c r="L8" s="3"/>
      <c r="M8" s="3"/>
      <c r="N8" s="3"/>
      <c r="O8" s="3"/>
      <c r="P8" s="3"/>
      <c r="Q8" s="3"/>
      <c r="R8" s="3"/>
      <c r="S8" s="3"/>
      <c r="T8" s="3"/>
      <c r="U8" s="80"/>
    </row>
    <row r="9" spans="1:21" x14ac:dyDescent="0.25">
      <c r="A9" s="54"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c r="K9" s="3"/>
      <c r="L9" s="3"/>
      <c r="M9" s="3"/>
      <c r="N9" s="3"/>
      <c r="O9" s="3"/>
      <c r="P9" s="3"/>
      <c r="Q9" s="3"/>
      <c r="R9" s="3"/>
      <c r="S9" s="3"/>
      <c r="T9" s="3"/>
      <c r="U9" s="80"/>
    </row>
    <row r="10" spans="1:21"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20"/>
      <c r="L10" s="3"/>
      <c r="M10" s="3"/>
      <c r="N10" s="3"/>
      <c r="O10" s="3"/>
      <c r="P10" s="3"/>
      <c r="Q10" s="3"/>
      <c r="R10" s="3"/>
      <c r="S10" s="3"/>
      <c r="T10" s="3"/>
      <c r="U10" s="80"/>
    </row>
    <row r="11" spans="1:21"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c r="K11" s="3"/>
      <c r="L11" s="3"/>
      <c r="M11" s="3"/>
      <c r="N11" s="3"/>
      <c r="O11" s="3"/>
      <c r="P11" s="3"/>
      <c r="Q11" s="3"/>
      <c r="R11" s="3"/>
      <c r="S11" s="3"/>
      <c r="T11" s="3"/>
      <c r="U11" s="80"/>
    </row>
    <row r="12" spans="1:21" x14ac:dyDescent="0.25">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c r="U12" s="80"/>
    </row>
    <row r="13" spans="1:21" x14ac:dyDescent="0.25">
      <c r="A13" s="37"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c r="U13" s="80"/>
    </row>
    <row r="14" spans="1:2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c r="U14" s="80"/>
    </row>
    <row r="15" spans="1:2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c r="U15" s="80"/>
    </row>
    <row r="16" spans="1:2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c r="U16" s="80"/>
    </row>
    <row r="17" spans="1:2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c r="U17" s="80"/>
    </row>
    <row r="18" spans="1:2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637</v>
      </c>
      <c r="L18" s="3"/>
      <c r="M18" s="3"/>
      <c r="N18" s="3"/>
      <c r="O18" s="3"/>
      <c r="P18" s="3"/>
      <c r="Q18" s="3"/>
      <c r="R18" s="3"/>
      <c r="S18" s="3"/>
      <c r="T18" s="3"/>
      <c r="U18" s="80"/>
    </row>
    <row r="19" spans="1:2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v>0</v>
      </c>
      <c r="G19" s="3">
        <v>100</v>
      </c>
      <c r="H19" s="3" t="s">
        <v>639</v>
      </c>
      <c r="I19" s="3" t="str">
        <f>IF('DATI LOGICI'!I17&lt;&gt;"",'DATI LOGICI'!I17,"")</f>
        <v>RW</v>
      </c>
      <c r="J19" s="3"/>
      <c r="K19" s="3"/>
      <c r="L19" s="3"/>
      <c r="M19" s="3"/>
      <c r="N19" s="3"/>
      <c r="O19" s="3"/>
      <c r="P19" s="3"/>
      <c r="Q19" s="3"/>
      <c r="R19" s="3"/>
      <c r="S19" s="3"/>
      <c r="T19" s="3"/>
      <c r="U19" s="80"/>
    </row>
    <row r="20" spans="1:2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3"/>
      <c r="K20" s="3"/>
      <c r="L20" s="3"/>
      <c r="M20" s="3"/>
      <c r="N20" s="3"/>
      <c r="O20" s="3"/>
      <c r="P20" s="3"/>
      <c r="Q20" s="3"/>
      <c r="R20" s="3"/>
      <c r="S20" s="3"/>
      <c r="T20" s="3"/>
      <c r="U20" s="80"/>
    </row>
    <row r="21" spans="1:21" x14ac:dyDescent="0.25">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c r="U21" s="80"/>
    </row>
    <row r="22" spans="1:21" x14ac:dyDescent="0.25">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c r="U22" s="80"/>
    </row>
    <row r="23" spans="1:21" x14ac:dyDescent="0.25">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c r="U23" s="80"/>
    </row>
    <row r="24" spans="1:21" x14ac:dyDescent="0.25">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c r="U24" s="80"/>
    </row>
    <row r="25" spans="1:21" x14ac:dyDescent="0.25">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c r="U25" s="80"/>
    </row>
    <row r="26" spans="1:21" x14ac:dyDescent="0.25">
      <c r="A26" s="54"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c r="U26" s="80"/>
    </row>
    <row r="27" spans="1:21" x14ac:dyDescent="0.25">
      <c r="A27" s="46" t="str">
        <f>IF('DATI LOGICI'!A26&lt;&gt;"",'DATI LOGICI'!A26,"")</f>
        <v>Firmware Bootloader</v>
      </c>
      <c r="B27" s="46">
        <f>IF('DATI LOGICI'!B26&lt;&gt;"",'DATI LOGICI'!B26,"")</f>
        <v>0</v>
      </c>
      <c r="C27" s="46">
        <f>IF('DATI LOGICI'!C26&lt;&gt;"",'DATI LOGICI'!C26,"")</f>
        <v>17</v>
      </c>
      <c r="D27" s="46" t="str">
        <f>IF('DATI LOGICI'!D26&lt;&gt;"",'DATI LOGICI'!D26,"")</f>
        <v xml:space="preserve">uint16_t </v>
      </c>
      <c r="E27" s="46" t="str">
        <f>IF('DATI LOGICI'!E26&lt;&gt;"",'DATI LOGICI'!E26,"")</f>
        <v>255.255</v>
      </c>
      <c r="F27" s="46">
        <f>IF('DATI LOGICI'!F26&lt;&gt;"",'DATI LOGICI'!F26,"")</f>
        <v>0</v>
      </c>
      <c r="G27" s="46" t="str">
        <f>IF('DATI LOGICI'!G26&lt;&gt;"",'DATI LOGICI'!G26,"")</f>
        <v>255.255</v>
      </c>
      <c r="H27" s="46" t="str">
        <f>IF('DATI LOGICI'!H26&lt;&gt;"",'DATI LOGICI'!H26,"")</f>
        <v/>
      </c>
      <c r="I27" s="46" t="str">
        <f>IF('DATI LOGICI'!I26&lt;&gt;"",'DATI LOGICI'!I26,"")</f>
        <v>R</v>
      </c>
      <c r="J27" s="3"/>
      <c r="U27" s="80"/>
    </row>
    <row r="28" spans="1:21" x14ac:dyDescent="0.25">
      <c r="A28" s="15" t="s">
        <v>136</v>
      </c>
      <c r="B28" s="3">
        <v>80</v>
      </c>
      <c r="C28" s="3">
        <v>0</v>
      </c>
      <c r="D28" s="3" t="s">
        <v>137</v>
      </c>
      <c r="E28" s="3"/>
      <c r="F28" s="3"/>
      <c r="G28" s="3"/>
      <c r="H28" s="3"/>
      <c r="I28" s="3" t="s">
        <v>103</v>
      </c>
      <c r="J28" s="3"/>
      <c r="K28" s="1"/>
      <c r="L28" s="1"/>
      <c r="M28" s="1"/>
      <c r="N28" s="1"/>
      <c r="O28" s="1"/>
      <c r="P28" s="1"/>
      <c r="Q28" s="1"/>
      <c r="R28" s="1"/>
      <c r="S28" s="1"/>
      <c r="U28" s="80"/>
    </row>
    <row r="29" spans="1:21" x14ac:dyDescent="0.25">
      <c r="A29" s="15" t="s">
        <v>139</v>
      </c>
      <c r="B29" s="3">
        <v>80</v>
      </c>
      <c r="C29" s="3">
        <v>1</v>
      </c>
      <c r="D29" s="3" t="s">
        <v>140</v>
      </c>
      <c r="E29" s="3"/>
      <c r="F29" s="3">
        <v>0</v>
      </c>
      <c r="G29" s="3">
        <v>1</v>
      </c>
      <c r="H29" s="3"/>
      <c r="I29" s="3" t="s">
        <v>93</v>
      </c>
      <c r="J29" s="3" t="s">
        <v>141</v>
      </c>
      <c r="K29" s="1"/>
      <c r="L29" s="1"/>
      <c r="M29" s="1"/>
      <c r="N29" s="1"/>
      <c r="O29" s="1"/>
      <c r="P29" s="1"/>
      <c r="Q29" s="1"/>
      <c r="R29" s="1"/>
      <c r="S29" s="1"/>
      <c r="U29" s="80"/>
    </row>
    <row r="30" spans="1:21" ht="71.25" x14ac:dyDescent="0.25">
      <c r="A30" s="15" t="s">
        <v>142</v>
      </c>
      <c r="B30" s="3">
        <v>80</v>
      </c>
      <c r="C30" s="3">
        <v>2</v>
      </c>
      <c r="D30" s="3" t="s">
        <v>143</v>
      </c>
      <c r="E30" s="3"/>
      <c r="F30" s="3">
        <v>0</v>
      </c>
      <c r="G30" s="3">
        <v>4</v>
      </c>
      <c r="H30" s="3"/>
      <c r="I30" s="3" t="s">
        <v>93</v>
      </c>
      <c r="J30" s="8" t="s">
        <v>144</v>
      </c>
      <c r="K30" s="1"/>
      <c r="L30" s="1" t="s">
        <v>145</v>
      </c>
      <c r="M30" s="1"/>
      <c r="N30" s="1"/>
      <c r="O30" s="1"/>
      <c r="P30" s="1"/>
      <c r="Q30" s="1"/>
      <c r="R30" s="1"/>
      <c r="S30" s="1"/>
      <c r="U30" s="80"/>
    </row>
    <row r="31" spans="1:21" x14ac:dyDescent="0.25">
      <c r="A31" s="21" t="s">
        <v>146</v>
      </c>
      <c r="B31" s="3">
        <v>80</v>
      </c>
      <c r="C31" s="3">
        <v>3</v>
      </c>
      <c r="D31" s="3" t="s">
        <v>147</v>
      </c>
      <c r="E31" s="3"/>
      <c r="F31" s="3"/>
      <c r="G31" s="3"/>
      <c r="H31" s="3"/>
      <c r="I31" s="3" t="s">
        <v>93</v>
      </c>
      <c r="J31" s="3"/>
      <c r="K31" s="1"/>
      <c r="L31" s="1"/>
      <c r="M31" s="1"/>
      <c r="N31" s="1"/>
      <c r="O31" s="1"/>
      <c r="P31" s="1"/>
      <c r="Q31" s="1"/>
      <c r="R31" s="1"/>
      <c r="S31" s="1"/>
      <c r="U31" s="80"/>
    </row>
    <row r="32" spans="1:21" x14ac:dyDescent="0.25">
      <c r="A32" s="21" t="s">
        <v>148</v>
      </c>
      <c r="B32" s="3">
        <f t="shared" ref="B32:B40" si="0">B29</f>
        <v>80</v>
      </c>
      <c r="C32" s="3">
        <f t="shared" ref="C32:C37" si="1">C31+1</f>
        <v>4</v>
      </c>
      <c r="D32" s="3" t="s">
        <v>147</v>
      </c>
      <c r="E32" s="3"/>
      <c r="F32" s="3"/>
      <c r="G32" s="3"/>
      <c r="H32" s="3"/>
      <c r="I32" s="3" t="s">
        <v>93</v>
      </c>
      <c r="J32" s="3"/>
      <c r="K32" s="22"/>
      <c r="L32" s="1"/>
      <c r="M32" s="1"/>
      <c r="N32" s="1"/>
      <c r="O32" s="1"/>
      <c r="P32" s="1"/>
      <c r="Q32" s="1"/>
      <c r="R32" s="1"/>
      <c r="S32" s="1"/>
      <c r="U32" s="80"/>
    </row>
    <row r="33" spans="1:21" x14ac:dyDescent="0.25">
      <c r="A33" s="21" t="s">
        <v>149</v>
      </c>
      <c r="B33" s="3">
        <f t="shared" si="0"/>
        <v>80</v>
      </c>
      <c r="C33" s="3">
        <f t="shared" si="1"/>
        <v>5</v>
      </c>
      <c r="D33" s="3" t="s">
        <v>140</v>
      </c>
      <c r="E33" s="3"/>
      <c r="F33" s="3"/>
      <c r="G33" s="3"/>
      <c r="H33" s="3"/>
      <c r="I33" s="3" t="s">
        <v>93</v>
      </c>
      <c r="J33" s="3"/>
      <c r="K33" s="22"/>
      <c r="L33" s="1"/>
      <c r="M33" s="1"/>
      <c r="N33" s="1"/>
      <c r="O33" s="1"/>
      <c r="P33" s="1"/>
      <c r="Q33" s="1"/>
      <c r="R33" s="1"/>
      <c r="S33" s="1"/>
      <c r="U33" s="80"/>
    </row>
    <row r="34" spans="1:21" x14ac:dyDescent="0.25">
      <c r="A34" s="21" t="s">
        <v>150</v>
      </c>
      <c r="B34" s="3">
        <f t="shared" si="0"/>
        <v>80</v>
      </c>
      <c r="C34" s="3">
        <f t="shared" si="1"/>
        <v>6</v>
      </c>
      <c r="D34" s="3" t="s">
        <v>147</v>
      </c>
      <c r="E34" s="3"/>
      <c r="F34" s="3"/>
      <c r="G34" s="3"/>
      <c r="H34" s="3"/>
      <c r="I34" s="3" t="s">
        <v>100</v>
      </c>
      <c r="J34" s="3"/>
      <c r="K34" s="22"/>
      <c r="L34" s="1"/>
      <c r="M34" s="1"/>
      <c r="N34" s="1"/>
      <c r="O34" s="1"/>
      <c r="P34" s="1"/>
      <c r="Q34" s="1"/>
      <c r="R34" s="1"/>
      <c r="S34" s="1"/>
      <c r="U34" s="80"/>
    </row>
    <row r="35" spans="1:21" x14ac:dyDescent="0.25">
      <c r="A35" s="21" t="s">
        <v>151</v>
      </c>
      <c r="B35" s="3">
        <f t="shared" si="0"/>
        <v>80</v>
      </c>
      <c r="C35" s="3">
        <f t="shared" si="1"/>
        <v>7</v>
      </c>
      <c r="D35" s="3" t="s">
        <v>152</v>
      </c>
      <c r="E35" s="3"/>
      <c r="F35" s="3"/>
      <c r="G35" s="3"/>
      <c r="H35" s="3"/>
      <c r="I35" s="3" t="s">
        <v>100</v>
      </c>
      <c r="J35" s="3"/>
      <c r="K35" s="22"/>
      <c r="L35" s="1"/>
      <c r="M35" s="1"/>
      <c r="N35" s="1"/>
      <c r="O35" s="1"/>
      <c r="P35" s="1"/>
      <c r="Q35" s="1"/>
      <c r="R35" s="1"/>
      <c r="S35" s="1"/>
      <c r="U35" s="80"/>
    </row>
    <row r="36" spans="1:21" x14ac:dyDescent="0.25">
      <c r="A36" s="21" t="s">
        <v>153</v>
      </c>
      <c r="B36" s="3">
        <f t="shared" si="0"/>
        <v>80</v>
      </c>
      <c r="C36" s="3">
        <f t="shared" si="1"/>
        <v>8</v>
      </c>
      <c r="D36" s="3" t="s">
        <v>147</v>
      </c>
      <c r="E36" s="3"/>
      <c r="F36" s="3"/>
      <c r="G36" s="3"/>
      <c r="H36" s="3"/>
      <c r="I36" s="3" t="s">
        <v>93</v>
      </c>
      <c r="J36" s="3"/>
      <c r="K36" s="22"/>
      <c r="L36" s="109"/>
      <c r="M36" s="109"/>
      <c r="N36" s="109"/>
      <c r="O36" s="109"/>
      <c r="P36" s="109"/>
      <c r="Q36" s="109"/>
      <c r="R36" s="109"/>
      <c r="S36" s="1"/>
      <c r="U36" s="80"/>
    </row>
    <row r="37" spans="1:21" x14ac:dyDescent="0.25">
      <c r="A37" s="21" t="s">
        <v>155</v>
      </c>
      <c r="B37" s="3">
        <f t="shared" si="0"/>
        <v>80</v>
      </c>
      <c r="C37" s="3">
        <f t="shared" si="1"/>
        <v>9</v>
      </c>
      <c r="D37" s="3" t="s">
        <v>147</v>
      </c>
      <c r="E37" s="3"/>
      <c r="F37" s="3"/>
      <c r="G37" s="3"/>
      <c r="H37" s="3"/>
      <c r="I37" s="3" t="s">
        <v>93</v>
      </c>
      <c r="J37" s="3"/>
      <c r="K37" s="22"/>
      <c r="L37" s="109"/>
      <c r="M37" s="109"/>
      <c r="N37" s="109"/>
      <c r="O37" s="109"/>
      <c r="P37" s="109"/>
      <c r="Q37" s="109"/>
      <c r="R37" s="109"/>
      <c r="S37" s="1"/>
      <c r="U37" s="80"/>
    </row>
    <row r="38" spans="1:21" x14ac:dyDescent="0.25">
      <c r="A38" s="21" t="s">
        <v>157</v>
      </c>
      <c r="B38" s="3">
        <f t="shared" si="0"/>
        <v>80</v>
      </c>
      <c r="C38" s="3" t="s">
        <v>55</v>
      </c>
      <c r="D38" s="3" t="s">
        <v>140</v>
      </c>
      <c r="E38" s="3"/>
      <c r="F38" s="3"/>
      <c r="G38" s="3"/>
      <c r="H38" s="3"/>
      <c r="I38" s="3" t="s">
        <v>93</v>
      </c>
      <c r="J38" s="3"/>
      <c r="K38" s="22"/>
      <c r="L38" s="109"/>
      <c r="M38" s="109"/>
      <c r="N38" s="109"/>
      <c r="O38" s="109"/>
      <c r="P38" s="109"/>
      <c r="Q38" s="109"/>
      <c r="R38" s="109"/>
      <c r="S38" s="1"/>
      <c r="U38" s="80"/>
    </row>
    <row r="39" spans="1:21" x14ac:dyDescent="0.25">
      <c r="A39" s="21" t="s">
        <v>158</v>
      </c>
      <c r="B39" s="3">
        <f t="shared" si="0"/>
        <v>80</v>
      </c>
      <c r="C39" s="3" t="s">
        <v>57</v>
      </c>
      <c r="D39" s="3" t="s">
        <v>147</v>
      </c>
      <c r="E39" s="3"/>
      <c r="F39" s="3"/>
      <c r="G39" s="3"/>
      <c r="H39" s="3"/>
      <c r="I39" s="3" t="s">
        <v>100</v>
      </c>
      <c r="J39" s="3"/>
      <c r="K39" s="22"/>
      <c r="L39" s="109"/>
      <c r="M39" s="109"/>
      <c r="N39" s="109"/>
      <c r="O39" s="109"/>
      <c r="P39" s="109"/>
      <c r="Q39" s="109"/>
      <c r="R39" s="109"/>
      <c r="S39" s="1"/>
    </row>
    <row r="40" spans="1:21" x14ac:dyDescent="0.25">
      <c r="A40" s="21" t="s">
        <v>159</v>
      </c>
      <c r="B40" s="3">
        <f t="shared" si="0"/>
        <v>80</v>
      </c>
      <c r="C40" s="3" t="s">
        <v>58</v>
      </c>
      <c r="D40" s="3" t="s">
        <v>152</v>
      </c>
      <c r="E40" s="3"/>
      <c r="F40" s="3"/>
      <c r="G40" s="3"/>
      <c r="H40" s="3"/>
      <c r="I40" s="3" t="s">
        <v>100</v>
      </c>
      <c r="J40" s="3"/>
      <c r="K40" s="22"/>
      <c r="L40" s="109"/>
      <c r="M40" s="109"/>
      <c r="N40" s="109"/>
      <c r="O40" s="109"/>
      <c r="P40" s="109"/>
      <c r="Q40" s="109"/>
      <c r="R40" s="109"/>
      <c r="S40" s="1"/>
    </row>
    <row r="41" spans="1:21" x14ac:dyDescent="0.25">
      <c r="A41" s="21" t="s">
        <v>160</v>
      </c>
      <c r="B41" s="3">
        <v>80</v>
      </c>
      <c r="C41" s="3" t="s">
        <v>60</v>
      </c>
      <c r="D41" s="3" t="s">
        <v>147</v>
      </c>
      <c r="E41" s="3"/>
      <c r="F41" s="3"/>
      <c r="G41" s="3"/>
      <c r="H41" s="3"/>
      <c r="I41" s="3" t="s">
        <v>93</v>
      </c>
      <c r="J41" s="3"/>
      <c r="K41" s="22"/>
      <c r="L41" s="109"/>
      <c r="M41" s="109"/>
      <c r="N41" s="109"/>
      <c r="O41" s="109"/>
      <c r="P41" s="109"/>
      <c r="Q41" s="109"/>
      <c r="R41" s="109"/>
      <c r="S41" s="1"/>
    </row>
    <row r="42" spans="1:21" x14ac:dyDescent="0.25">
      <c r="A42" s="21" t="s">
        <v>161</v>
      </c>
      <c r="B42" s="3">
        <v>80</v>
      </c>
      <c r="C42" s="3" t="s">
        <v>63</v>
      </c>
      <c r="D42" s="3" t="s">
        <v>147</v>
      </c>
      <c r="E42" s="3"/>
      <c r="F42" s="3"/>
      <c r="G42" s="3"/>
      <c r="H42" s="3"/>
      <c r="I42" s="3" t="s">
        <v>93</v>
      </c>
      <c r="J42" s="3"/>
      <c r="K42" s="22"/>
      <c r="L42" s="109"/>
      <c r="M42" s="109"/>
      <c r="N42" s="109"/>
      <c r="O42" s="109"/>
      <c r="P42" s="109"/>
      <c r="Q42" s="109"/>
      <c r="R42" s="109"/>
      <c r="S42" s="1"/>
    </row>
    <row r="43" spans="1:21" x14ac:dyDescent="0.25">
      <c r="A43" s="21" t="s">
        <v>162</v>
      </c>
      <c r="B43" s="3">
        <v>80</v>
      </c>
      <c r="C43" s="3" t="s">
        <v>65</v>
      </c>
      <c r="D43" s="3" t="s">
        <v>140</v>
      </c>
      <c r="E43" s="3"/>
      <c r="F43" s="3"/>
      <c r="G43" s="3"/>
      <c r="H43" s="3"/>
      <c r="I43" s="3" t="s">
        <v>93</v>
      </c>
      <c r="J43" s="3"/>
      <c r="K43" s="22"/>
      <c r="L43" s="109"/>
      <c r="M43" s="109"/>
      <c r="N43" s="109"/>
      <c r="O43" s="109"/>
      <c r="P43" s="109"/>
      <c r="Q43" s="109"/>
      <c r="R43" s="109"/>
      <c r="S43" s="1"/>
    </row>
    <row r="44" spans="1:21" x14ac:dyDescent="0.25">
      <c r="A44" s="21" t="s">
        <v>163</v>
      </c>
      <c r="B44" s="3">
        <v>80</v>
      </c>
      <c r="C44" s="3">
        <v>10</v>
      </c>
      <c r="D44" s="3" t="s">
        <v>147</v>
      </c>
      <c r="E44" s="3"/>
      <c r="F44" s="3"/>
      <c r="G44" s="3"/>
      <c r="H44" s="3"/>
      <c r="I44" s="3" t="s">
        <v>100</v>
      </c>
      <c r="J44" s="3"/>
      <c r="K44" s="22"/>
      <c r="L44" s="109"/>
      <c r="M44" s="109"/>
      <c r="N44" s="109"/>
      <c r="O44" s="109"/>
      <c r="P44" s="109"/>
      <c r="Q44" s="109"/>
      <c r="R44" s="109"/>
      <c r="S44" s="1"/>
    </row>
    <row r="45" spans="1:21" x14ac:dyDescent="0.25">
      <c r="A45" s="21" t="s">
        <v>164</v>
      </c>
      <c r="B45" s="3">
        <v>80</v>
      </c>
      <c r="C45" s="3">
        <f t="shared" ref="C45:C51" si="2">C44+1</f>
        <v>11</v>
      </c>
      <c r="D45" s="3" t="s">
        <v>165</v>
      </c>
      <c r="E45" s="3"/>
      <c r="F45" s="3"/>
      <c r="G45" s="3"/>
      <c r="H45" s="3"/>
      <c r="I45" s="3" t="s">
        <v>100</v>
      </c>
      <c r="J45" s="3"/>
      <c r="K45" s="22"/>
      <c r="L45" s="109"/>
      <c r="M45" s="109"/>
      <c r="N45" s="109"/>
      <c r="O45" s="109"/>
      <c r="P45" s="109"/>
      <c r="Q45" s="109"/>
      <c r="R45" s="109"/>
      <c r="S45" s="1"/>
    </row>
    <row r="46" spans="1:21" x14ac:dyDescent="0.25">
      <c r="A46" s="21" t="s">
        <v>166</v>
      </c>
      <c r="B46" s="3">
        <v>80</v>
      </c>
      <c r="C46" s="3">
        <f t="shared" si="2"/>
        <v>12</v>
      </c>
      <c r="D46" s="3" t="s">
        <v>147</v>
      </c>
      <c r="E46" s="3"/>
      <c r="F46" s="3"/>
      <c r="G46" s="3"/>
      <c r="H46" s="3"/>
      <c r="I46" s="3" t="s">
        <v>93</v>
      </c>
      <c r="J46" s="3"/>
      <c r="K46" s="22"/>
      <c r="L46" s="109"/>
      <c r="M46" s="109"/>
      <c r="N46" s="109"/>
      <c r="O46" s="109"/>
      <c r="P46" s="109"/>
      <c r="Q46" s="109"/>
      <c r="R46" s="109"/>
      <c r="S46" s="1"/>
    </row>
    <row r="47" spans="1:21" x14ac:dyDescent="0.25">
      <c r="A47" s="15" t="s">
        <v>167</v>
      </c>
      <c r="B47" s="3">
        <v>80</v>
      </c>
      <c r="C47" s="3">
        <f t="shared" si="2"/>
        <v>13</v>
      </c>
      <c r="D47" s="3" t="s">
        <v>92</v>
      </c>
      <c r="E47" s="3"/>
      <c r="F47" s="3"/>
      <c r="G47" s="3"/>
      <c r="H47" s="3"/>
      <c r="I47" s="3" t="s">
        <v>93</v>
      </c>
      <c r="J47" s="3"/>
      <c r="K47" s="22"/>
      <c r="L47" s="1"/>
      <c r="M47" s="1"/>
      <c r="N47" s="1"/>
      <c r="O47" s="1"/>
      <c r="P47" s="1"/>
      <c r="Q47" s="1"/>
      <c r="R47" s="1"/>
      <c r="S47" s="1"/>
    </row>
    <row r="48" spans="1:21" x14ac:dyDescent="0.25">
      <c r="A48" s="21" t="s">
        <v>168</v>
      </c>
      <c r="B48" s="3">
        <v>80</v>
      </c>
      <c r="C48" s="3">
        <f t="shared" si="2"/>
        <v>14</v>
      </c>
      <c r="D48" s="3" t="s">
        <v>99</v>
      </c>
      <c r="E48" s="3"/>
      <c r="F48" s="3"/>
      <c r="G48" s="3"/>
      <c r="H48" s="3"/>
      <c r="I48" s="3" t="s">
        <v>100</v>
      </c>
      <c r="J48" s="3"/>
      <c r="K48" s="22"/>
      <c r="L48" s="1"/>
      <c r="M48" s="1"/>
      <c r="N48" s="1"/>
      <c r="O48" s="1"/>
      <c r="P48" s="1"/>
      <c r="Q48" s="1"/>
      <c r="R48" s="1"/>
      <c r="S48" s="1"/>
    </row>
    <row r="49" spans="1:20" x14ac:dyDescent="0.25">
      <c r="A49" s="21" t="s">
        <v>170</v>
      </c>
      <c r="B49" s="3">
        <v>80</v>
      </c>
      <c r="C49" s="3">
        <f t="shared" si="2"/>
        <v>15</v>
      </c>
      <c r="D49" s="3" t="s">
        <v>99</v>
      </c>
      <c r="E49" s="3"/>
      <c r="F49" s="3"/>
      <c r="G49" s="3"/>
      <c r="H49" s="3"/>
      <c r="I49" s="3" t="s">
        <v>100</v>
      </c>
      <c r="J49" s="3"/>
      <c r="K49" s="22"/>
      <c r="L49" s="1"/>
      <c r="M49" s="1"/>
      <c r="N49" s="1"/>
      <c r="O49" s="1"/>
      <c r="P49" s="1"/>
      <c r="Q49" s="1"/>
      <c r="R49" s="1"/>
      <c r="S49" s="1"/>
    </row>
    <row r="50" spans="1:20" x14ac:dyDescent="0.25">
      <c r="A50" s="21" t="s">
        <v>172</v>
      </c>
      <c r="B50" s="3">
        <v>80</v>
      </c>
      <c r="C50" s="3">
        <f t="shared" si="2"/>
        <v>16</v>
      </c>
      <c r="D50" s="3" t="s">
        <v>92</v>
      </c>
      <c r="E50" s="3"/>
      <c r="F50" s="3"/>
      <c r="G50" s="3"/>
      <c r="H50" s="3"/>
      <c r="I50" s="3" t="s">
        <v>100</v>
      </c>
      <c r="J50" s="3"/>
      <c r="K50" s="1"/>
      <c r="L50" s="1"/>
      <c r="M50" s="1"/>
      <c r="N50" s="1"/>
      <c r="O50" s="1"/>
      <c r="P50" s="1"/>
      <c r="Q50" s="1"/>
      <c r="R50" s="1"/>
      <c r="S50" s="1"/>
      <c r="T50" s="80"/>
    </row>
    <row r="51" spans="1:20" x14ac:dyDescent="0.25">
      <c r="A51" s="21" t="s">
        <v>173</v>
      </c>
      <c r="B51" s="3">
        <v>80</v>
      </c>
      <c r="C51" s="3">
        <f t="shared" si="2"/>
        <v>17</v>
      </c>
      <c r="D51" s="3" t="s">
        <v>165</v>
      </c>
      <c r="E51" s="3"/>
      <c r="F51" s="3"/>
      <c r="G51" s="3"/>
      <c r="H51" s="3"/>
      <c r="I51" s="3" t="s">
        <v>100</v>
      </c>
      <c r="J51" s="3"/>
      <c r="K51" s="1"/>
      <c r="L51" s="1" t="s">
        <v>174</v>
      </c>
      <c r="M51" s="1"/>
      <c r="N51" s="1"/>
      <c r="O51" s="1"/>
      <c r="P51" s="1"/>
      <c r="Q51" s="1"/>
      <c r="R51" s="1"/>
      <c r="S51" s="1"/>
      <c r="T51" s="80"/>
    </row>
    <row r="52" spans="1:20" x14ac:dyDescent="0.25">
      <c r="A52" s="101"/>
      <c r="B52" s="102"/>
      <c r="C52" s="102"/>
      <c r="D52" s="102"/>
      <c r="E52" s="102"/>
      <c r="F52" s="102"/>
      <c r="G52" s="102"/>
      <c r="H52" s="102"/>
      <c r="I52" s="103"/>
      <c r="J52" s="106"/>
      <c r="K52" s="106"/>
      <c r="L52" s="106"/>
      <c r="M52" s="106"/>
      <c r="N52" s="106"/>
      <c r="O52" s="106"/>
      <c r="P52" s="106"/>
      <c r="Q52" s="106"/>
      <c r="R52" s="106"/>
      <c r="S52" s="106"/>
      <c r="T52" s="80"/>
    </row>
    <row r="53" spans="1:20" x14ac:dyDescent="0.25">
      <c r="A53" s="21" t="s">
        <v>175</v>
      </c>
      <c r="B53" s="3">
        <v>80</v>
      </c>
      <c r="C53" s="3" t="s">
        <v>176</v>
      </c>
      <c r="D53" s="3" t="s">
        <v>131</v>
      </c>
      <c r="E53" s="3"/>
      <c r="F53" s="3"/>
      <c r="G53" s="3"/>
      <c r="H53" s="3"/>
      <c r="I53" s="3" t="s">
        <v>100</v>
      </c>
      <c r="J53" s="1"/>
      <c r="K53" s="1"/>
      <c r="L53" s="1"/>
      <c r="M53" s="1"/>
      <c r="N53" s="1"/>
      <c r="O53" s="1"/>
      <c r="P53" s="1"/>
      <c r="Q53" s="1"/>
      <c r="R53" s="1"/>
      <c r="S53" s="1"/>
      <c r="T53" s="80"/>
    </row>
    <row r="54" spans="1:20" x14ac:dyDescent="0.25">
      <c r="A54" s="21" t="s">
        <v>178</v>
      </c>
      <c r="B54" s="3">
        <v>80</v>
      </c>
      <c r="C54" s="3" t="s">
        <v>179</v>
      </c>
      <c r="D54" s="3" t="s">
        <v>137</v>
      </c>
      <c r="E54" s="3"/>
      <c r="F54" s="3"/>
      <c r="G54" s="3"/>
      <c r="H54" s="3"/>
      <c r="I54" s="3" t="s">
        <v>93</v>
      </c>
      <c r="J54" s="1"/>
      <c r="K54" s="1"/>
      <c r="L54" s="1"/>
      <c r="M54" s="1"/>
      <c r="N54" s="1"/>
      <c r="O54" s="1"/>
      <c r="P54" s="1"/>
      <c r="Q54" s="1"/>
      <c r="R54" s="1"/>
      <c r="S54" s="1"/>
      <c r="T54" s="80"/>
    </row>
    <row r="55" spans="1:20" x14ac:dyDescent="0.25">
      <c r="A55" s="21" t="s">
        <v>181</v>
      </c>
      <c r="B55" s="3">
        <v>80</v>
      </c>
      <c r="C55" s="3">
        <v>30</v>
      </c>
      <c r="D55" s="3" t="s">
        <v>137</v>
      </c>
      <c r="E55" s="3"/>
      <c r="F55" s="3"/>
      <c r="G55" s="3"/>
      <c r="H55" s="3"/>
      <c r="I55" s="3" t="s">
        <v>93</v>
      </c>
      <c r="J55" s="3"/>
      <c r="K55" s="1"/>
      <c r="L55" s="1"/>
      <c r="M55" s="1"/>
      <c r="N55" s="1"/>
      <c r="O55" s="1"/>
      <c r="P55" s="1"/>
      <c r="Q55" s="1"/>
      <c r="R55" s="1"/>
      <c r="S55" s="1"/>
      <c r="T55" s="80"/>
    </row>
    <row r="56" spans="1:20" ht="39" x14ac:dyDescent="0.25">
      <c r="A56" s="15" t="s">
        <v>204</v>
      </c>
      <c r="B56" s="3">
        <v>80</v>
      </c>
      <c r="C56" s="3">
        <v>31</v>
      </c>
      <c r="D56" s="3" t="s">
        <v>99</v>
      </c>
      <c r="E56" s="3"/>
      <c r="F56" s="3"/>
      <c r="G56" s="3"/>
      <c r="H56" s="3"/>
      <c r="I56" s="3" t="s">
        <v>93</v>
      </c>
      <c r="J56" s="23" t="s">
        <v>213</v>
      </c>
      <c r="K56" s="1"/>
      <c r="L56" s="1"/>
      <c r="M56" s="1"/>
      <c r="N56" s="1"/>
      <c r="O56" s="1"/>
      <c r="P56" s="1"/>
      <c r="Q56" s="1"/>
      <c r="R56" s="1"/>
      <c r="S56" s="1"/>
      <c r="T56" s="80"/>
    </row>
    <row r="57" spans="1:20" x14ac:dyDescent="0.25">
      <c r="A57" s="15" t="s">
        <v>183</v>
      </c>
      <c r="B57" s="3">
        <v>80</v>
      </c>
      <c r="C57" s="3">
        <v>32</v>
      </c>
      <c r="D57" s="3" t="s">
        <v>92</v>
      </c>
      <c r="E57" s="3"/>
      <c r="F57" s="3"/>
      <c r="G57" s="3"/>
      <c r="H57" s="3"/>
      <c r="I57" s="3" t="s">
        <v>93</v>
      </c>
      <c r="J57" s="18" t="s">
        <v>214</v>
      </c>
      <c r="K57" s="1"/>
      <c r="L57" s="1"/>
      <c r="M57" s="1"/>
      <c r="N57" s="1"/>
      <c r="O57" s="1"/>
      <c r="P57" s="1"/>
      <c r="Q57" s="1"/>
      <c r="R57" s="1"/>
      <c r="S57" s="1"/>
      <c r="T57" s="81"/>
    </row>
    <row r="58" spans="1:20" x14ac:dyDescent="0.25">
      <c r="A58" s="15" t="s">
        <v>184</v>
      </c>
      <c r="B58" s="3">
        <v>80</v>
      </c>
      <c r="C58" s="3">
        <v>33</v>
      </c>
      <c r="D58" s="3" t="s">
        <v>92</v>
      </c>
      <c r="E58" s="3"/>
      <c r="F58" s="3"/>
      <c r="G58" s="3"/>
      <c r="H58" s="3"/>
      <c r="I58" s="3" t="s">
        <v>93</v>
      </c>
      <c r="J58" s="18" t="s">
        <v>215</v>
      </c>
      <c r="K58" s="1"/>
      <c r="L58" s="1"/>
      <c r="M58" s="1"/>
      <c r="N58" s="1"/>
      <c r="O58" s="1"/>
      <c r="P58" s="1"/>
      <c r="Q58" s="1"/>
      <c r="R58" s="1"/>
      <c r="S58" s="1"/>
      <c r="T58" s="80"/>
    </row>
    <row r="59" spans="1:20" x14ac:dyDescent="0.25">
      <c r="A59" s="15" t="s">
        <v>185</v>
      </c>
      <c r="B59" s="3">
        <v>80</v>
      </c>
      <c r="C59" s="3">
        <v>34</v>
      </c>
      <c r="D59" s="3" t="s">
        <v>92</v>
      </c>
      <c r="E59" s="3"/>
      <c r="F59" s="3"/>
      <c r="G59" s="3"/>
      <c r="H59" s="3"/>
      <c r="I59" s="3" t="s">
        <v>93</v>
      </c>
      <c r="J59" s="18" t="s">
        <v>216</v>
      </c>
      <c r="K59" s="24"/>
      <c r="L59" s="24"/>
      <c r="M59" s="24"/>
      <c r="N59" s="24"/>
      <c r="O59" s="24"/>
      <c r="P59" s="24"/>
      <c r="Q59" s="24"/>
      <c r="R59" s="24"/>
      <c r="S59" s="24"/>
      <c r="T59" s="80"/>
    </row>
    <row r="60" spans="1:20" ht="291" x14ac:dyDescent="0.25">
      <c r="A60" s="15" t="s">
        <v>217</v>
      </c>
      <c r="B60" s="3">
        <v>80</v>
      </c>
      <c r="C60" s="3">
        <v>35</v>
      </c>
      <c r="D60" s="3" t="s">
        <v>137</v>
      </c>
      <c r="E60" s="3"/>
      <c r="F60" s="3"/>
      <c r="G60" s="3"/>
      <c r="H60" s="3"/>
      <c r="I60" s="3" t="s">
        <v>93</v>
      </c>
      <c r="J60" s="23" t="s">
        <v>218</v>
      </c>
      <c r="K60" s="22"/>
      <c r="L60" s="1"/>
      <c r="M60" s="1"/>
      <c r="N60" s="1"/>
      <c r="O60" s="1"/>
      <c r="P60" s="1"/>
      <c r="Q60" s="1"/>
      <c r="R60" s="1"/>
      <c r="S60" s="1"/>
      <c r="T60" s="80"/>
    </row>
    <row r="61" spans="1:20" ht="261" x14ac:dyDescent="0.25">
      <c r="A61" s="15" t="s">
        <v>219</v>
      </c>
      <c r="B61" s="3">
        <v>80</v>
      </c>
      <c r="C61" s="3">
        <v>36</v>
      </c>
      <c r="D61" s="3" t="s">
        <v>99</v>
      </c>
      <c r="E61" s="3"/>
      <c r="F61" s="3"/>
      <c r="G61" s="3"/>
      <c r="H61" s="3"/>
      <c r="I61" s="3" t="s">
        <v>93</v>
      </c>
      <c r="J61" s="23" t="s">
        <v>220</v>
      </c>
      <c r="K61" s="1"/>
      <c r="L61" s="1"/>
      <c r="M61" s="1"/>
      <c r="N61" s="1"/>
      <c r="O61" s="1"/>
      <c r="P61" s="1"/>
      <c r="Q61" s="1"/>
      <c r="R61" s="1"/>
      <c r="S61" s="1"/>
      <c r="T61" s="80"/>
    </row>
    <row r="62" spans="1:20" x14ac:dyDescent="0.25">
      <c r="A62" s="15" t="s">
        <v>208</v>
      </c>
      <c r="B62" s="3">
        <v>80</v>
      </c>
      <c r="C62" s="3">
        <v>37</v>
      </c>
      <c r="D62" s="3" t="s">
        <v>140</v>
      </c>
      <c r="E62" s="1"/>
      <c r="F62" s="1"/>
      <c r="G62" s="1"/>
      <c r="H62" s="1"/>
      <c r="I62" s="3" t="s">
        <v>100</v>
      </c>
      <c r="J62" s="3" t="s">
        <v>209</v>
      </c>
      <c r="K62" s="1"/>
      <c r="L62" s="1"/>
      <c r="M62" s="1"/>
      <c r="N62" s="1"/>
      <c r="O62" s="1"/>
      <c r="P62" s="1"/>
      <c r="Q62" s="1"/>
      <c r="R62" s="1"/>
      <c r="S62" s="1"/>
      <c r="T62" s="80"/>
    </row>
    <row r="63" spans="1:20" x14ac:dyDescent="0.25">
      <c r="A63" s="1"/>
      <c r="B63" s="1"/>
      <c r="C63" s="1"/>
      <c r="D63" s="1"/>
      <c r="E63" s="1"/>
      <c r="F63" s="1"/>
      <c r="G63" s="1"/>
      <c r="H63" s="1"/>
      <c r="I63" s="1"/>
      <c r="J63" s="3"/>
      <c r="K63" s="1"/>
      <c r="L63" s="1"/>
      <c r="M63" s="1"/>
      <c r="N63" s="1"/>
      <c r="O63" s="1"/>
      <c r="P63" s="1"/>
      <c r="Q63" s="1"/>
      <c r="R63" s="1"/>
      <c r="S63" s="1"/>
      <c r="T63" s="80"/>
    </row>
    <row r="64" spans="1:20" x14ac:dyDescent="0.25">
      <c r="A64" s="1"/>
      <c r="B64" s="1"/>
      <c r="C64" s="1"/>
      <c r="D64" s="1"/>
      <c r="E64" s="1"/>
      <c r="F64" s="1"/>
      <c r="G64" s="1"/>
      <c r="H64" s="1"/>
      <c r="I64" s="1"/>
      <c r="J64" s="3"/>
      <c r="K64" s="22"/>
      <c r="L64" s="1"/>
      <c r="M64" s="1"/>
      <c r="N64" s="1"/>
      <c r="O64" s="1"/>
      <c r="P64" s="1"/>
      <c r="Q64" s="1"/>
      <c r="R64" s="1"/>
      <c r="S64" s="1"/>
      <c r="T64" s="80"/>
    </row>
    <row r="65" spans="1:20" x14ac:dyDescent="0.25">
      <c r="A65" s="1"/>
      <c r="B65" s="1"/>
      <c r="C65" s="1"/>
      <c r="D65" s="1"/>
      <c r="E65" s="1"/>
      <c r="F65" s="1"/>
      <c r="G65" s="1"/>
      <c r="H65" s="1"/>
      <c r="I65" s="1"/>
      <c r="J65" s="3"/>
      <c r="K65" s="22"/>
      <c r="L65" s="1"/>
      <c r="M65" s="1"/>
      <c r="N65" s="1"/>
      <c r="O65" s="1"/>
      <c r="P65" s="1"/>
      <c r="Q65" s="1"/>
      <c r="R65" s="1"/>
      <c r="S65" s="1"/>
      <c r="T65" s="80"/>
    </row>
    <row r="66" spans="1:20" x14ac:dyDescent="0.25">
      <c r="A66" s="1"/>
      <c r="B66" s="1"/>
      <c r="C66" s="1"/>
      <c r="D66" s="1"/>
      <c r="E66" s="1"/>
      <c r="F66" s="1"/>
      <c r="G66" s="1"/>
      <c r="H66" s="1"/>
      <c r="I66" s="1"/>
      <c r="J66" s="3" t="s">
        <v>221</v>
      </c>
      <c r="K66" s="22"/>
      <c r="L66" s="1"/>
      <c r="M66" s="1"/>
      <c r="N66" s="1"/>
      <c r="O66" s="1"/>
      <c r="P66" s="1"/>
      <c r="Q66" s="1"/>
      <c r="R66" s="1"/>
      <c r="S66" s="1"/>
      <c r="T66" s="80"/>
    </row>
    <row r="67" spans="1:20" x14ac:dyDescent="0.25">
      <c r="A67" s="1"/>
      <c r="B67" s="1"/>
      <c r="C67" s="1"/>
      <c r="D67" s="1"/>
      <c r="E67" s="1"/>
      <c r="F67" s="1"/>
      <c r="G67" s="1"/>
      <c r="H67" s="1"/>
      <c r="I67" s="1"/>
      <c r="J67" s="3"/>
      <c r="K67" s="22"/>
      <c r="L67" s="1"/>
      <c r="M67" s="1"/>
      <c r="N67" s="1"/>
      <c r="O67" s="1"/>
      <c r="P67" s="1"/>
      <c r="Q67" s="1"/>
      <c r="R67" s="1"/>
      <c r="S67" s="1"/>
      <c r="T67" s="80"/>
    </row>
    <row r="68" spans="1:20" x14ac:dyDescent="0.25">
      <c r="A68" s="1"/>
      <c r="B68" s="1"/>
      <c r="C68" s="1"/>
      <c r="D68" s="1"/>
      <c r="E68" s="1"/>
      <c r="F68" s="1"/>
      <c r="G68" s="1"/>
      <c r="H68" s="1"/>
      <c r="I68" s="1"/>
      <c r="J68" s="8"/>
      <c r="K68" s="22"/>
      <c r="L68" s="1"/>
      <c r="M68" s="1"/>
      <c r="N68" s="1"/>
      <c r="O68" s="1"/>
      <c r="P68" s="1"/>
      <c r="Q68" s="1"/>
      <c r="R68" s="1"/>
      <c r="S68" s="1"/>
      <c r="T68" s="80"/>
    </row>
    <row r="69" spans="1:20" x14ac:dyDescent="0.25">
      <c r="T69" s="80"/>
    </row>
    <row r="70" spans="1:20" x14ac:dyDescent="0.25">
      <c r="T70" s="80"/>
    </row>
    <row r="71" spans="1:20" x14ac:dyDescent="0.25">
      <c r="T71" s="80"/>
    </row>
    <row r="72" spans="1:20" x14ac:dyDescent="0.25">
      <c r="T72" s="80"/>
    </row>
    <row r="73" spans="1:20" x14ac:dyDescent="0.25">
      <c r="T73" s="80"/>
    </row>
    <row r="74" spans="1:20" x14ac:dyDescent="0.25">
      <c r="T74" s="80"/>
    </row>
    <row r="75" spans="1:20" x14ac:dyDescent="0.25">
      <c r="T75" s="80"/>
    </row>
    <row r="76" spans="1:20" x14ac:dyDescent="0.25">
      <c r="T76" s="80"/>
    </row>
    <row r="77" spans="1:20" x14ac:dyDescent="0.25">
      <c r="T77" s="80"/>
    </row>
    <row r="78" spans="1:20" x14ac:dyDescent="0.25">
      <c r="T78" s="80"/>
    </row>
    <row r="79" spans="1:20" x14ac:dyDescent="0.25">
      <c r="T79" s="80"/>
    </row>
    <row r="80" spans="1:20" x14ac:dyDescent="0.25">
      <c r="T80" s="80"/>
    </row>
    <row r="81" spans="20:20" x14ac:dyDescent="0.25">
      <c r="T81" s="80"/>
    </row>
    <row r="82" spans="20:20" x14ac:dyDescent="0.25">
      <c r="T82" s="80"/>
    </row>
    <row r="83" spans="20:20" x14ac:dyDescent="0.25">
      <c r="T83" s="80"/>
    </row>
    <row r="84" spans="20:20" x14ac:dyDescent="0.25">
      <c r="T84" s="80"/>
    </row>
  </sheetData>
  <mergeCells count="5">
    <mergeCell ref="A1:J1"/>
    <mergeCell ref="A52:I52"/>
    <mergeCell ref="J52:S52"/>
    <mergeCell ref="L36:R46"/>
    <mergeCell ref="K4:T4"/>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0"/>
  <sheetViews>
    <sheetView topLeftCell="A10" zoomScale="80" zoomScaleNormal="80" workbookViewId="0">
      <selection activeCell="B33" sqref="B33"/>
    </sheetView>
  </sheetViews>
  <sheetFormatPr defaultColWidth="9.28515625" defaultRowHeight="15" x14ac:dyDescent="0.25"/>
  <cols>
    <col min="1" max="2" width="30.42578125" style="3" customWidth="1"/>
    <col min="3" max="3" width="17" style="3" customWidth="1"/>
    <col min="4" max="4" width="16.5703125" style="3" customWidth="1"/>
    <col min="5" max="5" width="31.42578125" style="3" customWidth="1"/>
    <col min="6" max="6" width="16" style="3" customWidth="1"/>
    <col min="7" max="7" width="8.7109375" style="3" customWidth="1"/>
    <col min="8" max="8" width="12.7109375" style="3" customWidth="1"/>
    <col min="9" max="9" width="17.5703125" style="3" customWidth="1"/>
    <col min="10" max="1024" width="9.28515625" style="3"/>
  </cols>
  <sheetData>
    <row r="1" spans="1:10" x14ac:dyDescent="0.25">
      <c r="A1" s="10" t="s">
        <v>222</v>
      </c>
      <c r="B1" s="10" t="s">
        <v>90</v>
      </c>
      <c r="C1" s="5" t="s">
        <v>80</v>
      </c>
      <c r="D1" s="5" t="s">
        <v>81</v>
      </c>
      <c r="E1" s="2" t="s">
        <v>82</v>
      </c>
      <c r="F1" s="11" t="s">
        <v>83</v>
      </c>
      <c r="G1" s="12" t="s">
        <v>84</v>
      </c>
      <c r="H1" s="12" t="s">
        <v>85</v>
      </c>
      <c r="I1" s="13" t="s">
        <v>86</v>
      </c>
      <c r="J1" s="14" t="s">
        <v>87</v>
      </c>
    </row>
    <row r="2" spans="1:10" x14ac:dyDescent="0.25">
      <c r="A2" s="106" t="s">
        <v>229</v>
      </c>
      <c r="B2" s="106"/>
      <c r="C2" s="106"/>
      <c r="D2" s="106"/>
      <c r="E2" s="106"/>
      <c r="F2" s="106"/>
      <c r="G2" s="106"/>
      <c r="H2" s="106"/>
      <c r="I2" s="106"/>
      <c r="J2" s="106"/>
    </row>
    <row r="3" spans="1:10" x14ac:dyDescent="0.25">
      <c r="A3" s="3" t="s">
        <v>230</v>
      </c>
      <c r="B3" s="15" t="s">
        <v>230</v>
      </c>
      <c r="C3" s="3">
        <v>1</v>
      </c>
      <c r="D3" s="3">
        <v>0</v>
      </c>
      <c r="E3" s="3" t="s">
        <v>137</v>
      </c>
      <c r="F3" s="3" t="s">
        <v>231</v>
      </c>
    </row>
    <row r="4" spans="1:10" x14ac:dyDescent="0.25">
      <c r="A4" s="3" t="s">
        <v>123</v>
      </c>
      <c r="B4" s="15" t="s">
        <v>123</v>
      </c>
      <c r="C4" s="3">
        <v>1</v>
      </c>
      <c r="D4" s="3">
        <v>1</v>
      </c>
      <c r="E4" s="3" t="s">
        <v>137</v>
      </c>
    </row>
    <row r="5" spans="1:10" x14ac:dyDescent="0.25">
      <c r="A5" s="3" t="s">
        <v>232</v>
      </c>
      <c r="B5" s="15" t="s">
        <v>232</v>
      </c>
      <c r="C5" s="3">
        <v>1</v>
      </c>
      <c r="D5" s="3">
        <v>2</v>
      </c>
      <c r="E5" s="3" t="s">
        <v>137</v>
      </c>
      <c r="F5" s="3" t="s">
        <v>231</v>
      </c>
    </row>
    <row r="6" spans="1:10" x14ac:dyDescent="0.25">
      <c r="A6" s="3" t="s">
        <v>233</v>
      </c>
      <c r="B6" s="15" t="s">
        <v>233</v>
      </c>
      <c r="C6" s="3">
        <v>1</v>
      </c>
      <c r="D6" s="3">
        <v>3</v>
      </c>
      <c r="E6" s="3" t="s">
        <v>137</v>
      </c>
    </row>
    <row r="7" spans="1:10" x14ac:dyDescent="0.25">
      <c r="A7" s="3" t="s">
        <v>234</v>
      </c>
      <c r="B7" s="15" t="s">
        <v>234</v>
      </c>
      <c r="C7" s="3">
        <v>1</v>
      </c>
      <c r="D7" s="3">
        <v>4</v>
      </c>
      <c r="E7" s="3" t="s">
        <v>137</v>
      </c>
    </row>
    <row r="8" spans="1:10" x14ac:dyDescent="0.25">
      <c r="A8" s="3" t="s">
        <v>235</v>
      </c>
      <c r="B8" s="25" t="s">
        <v>235</v>
      </c>
      <c r="C8" s="3">
        <v>1</v>
      </c>
      <c r="D8" s="3">
        <v>5</v>
      </c>
      <c r="E8" s="3" t="s">
        <v>137</v>
      </c>
    </row>
    <row r="9" spans="1:10" x14ac:dyDescent="0.25">
      <c r="A9" s="3" t="s">
        <v>236</v>
      </c>
      <c r="B9" s="3" t="s">
        <v>236</v>
      </c>
      <c r="C9" s="3">
        <v>1</v>
      </c>
      <c r="D9" s="3">
        <v>6</v>
      </c>
      <c r="E9" s="3" t="s">
        <v>137</v>
      </c>
    </row>
    <row r="10" spans="1:10" x14ac:dyDescent="0.25">
      <c r="A10" s="3" t="s">
        <v>237</v>
      </c>
      <c r="B10" s="15" t="s">
        <v>237</v>
      </c>
      <c r="C10" s="3">
        <v>1</v>
      </c>
      <c r="D10" s="3">
        <v>7</v>
      </c>
      <c r="E10" s="3" t="s">
        <v>137</v>
      </c>
    </row>
    <row r="11" spans="1:10" x14ac:dyDescent="0.25">
      <c r="A11" s="3" t="s">
        <v>238</v>
      </c>
      <c r="B11" s="15" t="s">
        <v>238</v>
      </c>
      <c r="C11" s="3">
        <v>1</v>
      </c>
      <c r="D11" s="3">
        <v>8</v>
      </c>
      <c r="E11" s="3" t="s">
        <v>137</v>
      </c>
    </row>
    <row r="12" spans="1:10" x14ac:dyDescent="0.25">
      <c r="A12" s="3" t="s">
        <v>239</v>
      </c>
      <c r="B12" s="15" t="s">
        <v>239</v>
      </c>
      <c r="C12" s="3">
        <v>1</v>
      </c>
      <c r="D12" s="3">
        <v>9</v>
      </c>
      <c r="E12" s="3" t="s">
        <v>240</v>
      </c>
    </row>
    <row r="13" spans="1:10" x14ac:dyDescent="0.25">
      <c r="A13" s="3" t="s">
        <v>241</v>
      </c>
      <c r="B13" s="15" t="s">
        <v>241</v>
      </c>
      <c r="C13" s="3">
        <v>1</v>
      </c>
      <c r="D13" s="3" t="s">
        <v>55</v>
      </c>
      <c r="E13" s="3" t="s">
        <v>240</v>
      </c>
    </row>
    <row r="14" spans="1:10" x14ac:dyDescent="0.25">
      <c r="A14" s="3" t="s">
        <v>242</v>
      </c>
      <c r="B14" s="3" t="s">
        <v>242</v>
      </c>
      <c r="C14" s="3">
        <v>1</v>
      </c>
      <c r="D14" s="3" t="s">
        <v>57</v>
      </c>
      <c r="E14" s="3" t="s">
        <v>240</v>
      </c>
    </row>
    <row r="15" spans="1:10" x14ac:dyDescent="0.25">
      <c r="A15" s="3" t="s">
        <v>243</v>
      </c>
      <c r="B15" s="3" t="s">
        <v>243</v>
      </c>
      <c r="C15" s="3">
        <v>1</v>
      </c>
      <c r="D15" s="3" t="s">
        <v>58</v>
      </c>
      <c r="E15" s="3" t="s">
        <v>240</v>
      </c>
    </row>
    <row r="16" spans="1:10" x14ac:dyDescent="0.25">
      <c r="A16" s="3" t="s">
        <v>244</v>
      </c>
      <c r="B16" s="3" t="s">
        <v>244</v>
      </c>
      <c r="C16" s="3">
        <v>1</v>
      </c>
      <c r="D16" s="3" t="s">
        <v>60</v>
      </c>
      <c r="E16" s="3" t="s">
        <v>240</v>
      </c>
    </row>
    <row r="17" spans="1:5" x14ac:dyDescent="0.25">
      <c r="A17" s="3" t="s">
        <v>245</v>
      </c>
      <c r="B17" s="15" t="s">
        <v>245</v>
      </c>
      <c r="C17" s="3">
        <v>1</v>
      </c>
      <c r="D17" s="3" t="s">
        <v>63</v>
      </c>
      <c r="E17" s="3" t="s">
        <v>240</v>
      </c>
    </row>
    <row r="18" spans="1:5" x14ac:dyDescent="0.25">
      <c r="A18" s="3" t="s">
        <v>246</v>
      </c>
      <c r="B18" s="15" t="s">
        <v>246</v>
      </c>
      <c r="C18" s="3">
        <v>1</v>
      </c>
      <c r="D18" s="3" t="s">
        <v>65</v>
      </c>
      <c r="E18" s="3" t="s">
        <v>240</v>
      </c>
    </row>
    <row r="19" spans="1:5" x14ac:dyDescent="0.25">
      <c r="A19" s="3" t="s">
        <v>247</v>
      </c>
      <c r="B19" s="15" t="s">
        <v>247</v>
      </c>
      <c r="C19" s="3">
        <v>2</v>
      </c>
      <c r="D19" s="3">
        <v>0</v>
      </c>
      <c r="E19" s="3" t="s">
        <v>240</v>
      </c>
    </row>
    <row r="20" spans="1:5" x14ac:dyDescent="0.25">
      <c r="A20" s="3" t="s">
        <v>248</v>
      </c>
      <c r="B20" s="15" t="s">
        <v>248</v>
      </c>
      <c r="C20" s="3">
        <v>2</v>
      </c>
      <c r="D20" s="3">
        <v>1</v>
      </c>
      <c r="E20" s="3" t="s">
        <v>240</v>
      </c>
    </row>
    <row r="21" spans="1:5" x14ac:dyDescent="0.25">
      <c r="A21" s="3" t="s">
        <v>249</v>
      </c>
      <c r="B21" s="15" t="s">
        <v>249</v>
      </c>
      <c r="C21" s="3">
        <v>2</v>
      </c>
      <c r="D21" s="3">
        <v>2</v>
      </c>
      <c r="E21" s="3" t="s">
        <v>240</v>
      </c>
    </row>
    <row r="22" spans="1:5" x14ac:dyDescent="0.25">
      <c r="A22" s="3" t="s">
        <v>250</v>
      </c>
      <c r="B22" s="15" t="s">
        <v>250</v>
      </c>
      <c r="C22" s="3">
        <v>2</v>
      </c>
      <c r="D22" s="3">
        <v>3</v>
      </c>
      <c r="E22" s="3" t="s">
        <v>240</v>
      </c>
    </row>
    <row r="23" spans="1:5" x14ac:dyDescent="0.25">
      <c r="A23" s="3" t="s">
        <v>251</v>
      </c>
      <c r="B23" s="15" t="s">
        <v>251</v>
      </c>
      <c r="C23" s="3">
        <v>2</v>
      </c>
      <c r="D23" s="3">
        <v>4</v>
      </c>
      <c r="E23" s="3" t="s">
        <v>240</v>
      </c>
    </row>
    <row r="24" spans="1:5" x14ac:dyDescent="0.25">
      <c r="A24" s="3" t="s">
        <v>252</v>
      </c>
      <c r="B24" s="3" t="s">
        <v>252</v>
      </c>
      <c r="C24" s="3">
        <v>2</v>
      </c>
      <c r="D24" s="3">
        <v>5</v>
      </c>
      <c r="E24" s="3" t="s">
        <v>240</v>
      </c>
    </row>
    <row r="25" spans="1:5" x14ac:dyDescent="0.25">
      <c r="A25" s="3" t="s">
        <v>253</v>
      </c>
      <c r="B25" s="3" t="s">
        <v>253</v>
      </c>
      <c r="C25" s="3">
        <v>2</v>
      </c>
      <c r="D25" s="3">
        <v>6</v>
      </c>
      <c r="E25" s="3" t="s">
        <v>240</v>
      </c>
    </row>
    <row r="26" spans="1:5" x14ac:dyDescent="0.25">
      <c r="A26" s="3" t="s">
        <v>254</v>
      </c>
      <c r="B26" s="3" t="s">
        <v>254</v>
      </c>
      <c r="C26" s="3">
        <v>2</v>
      </c>
      <c r="D26" s="3">
        <v>7</v>
      </c>
      <c r="E26" s="3" t="s">
        <v>240</v>
      </c>
    </row>
    <row r="27" spans="1:5" x14ac:dyDescent="0.25">
      <c r="A27" s="3" t="s">
        <v>255</v>
      </c>
      <c r="B27" s="15" t="s">
        <v>255</v>
      </c>
      <c r="C27" s="3">
        <v>2</v>
      </c>
      <c r="D27" s="3">
        <v>8</v>
      </c>
      <c r="E27" s="3" t="s">
        <v>240</v>
      </c>
    </row>
    <row r="28" spans="1:5" x14ac:dyDescent="0.25">
      <c r="A28" s="3" t="s">
        <v>256</v>
      </c>
      <c r="B28" s="25" t="s">
        <v>256</v>
      </c>
      <c r="C28" s="3">
        <v>2</v>
      </c>
      <c r="D28" s="3">
        <v>9</v>
      </c>
      <c r="E28" s="3" t="s">
        <v>137</v>
      </c>
    </row>
    <row r="29" spans="1:5" x14ac:dyDescent="0.25">
      <c r="A29" s="3" t="s">
        <v>257</v>
      </c>
      <c r="B29" s="3" t="s">
        <v>257</v>
      </c>
      <c r="C29" s="3">
        <v>2</v>
      </c>
      <c r="D29" s="3" t="s">
        <v>55</v>
      </c>
      <c r="E29" s="3" t="s">
        <v>137</v>
      </c>
    </row>
    <row r="30" spans="1:5" x14ac:dyDescent="0.25">
      <c r="A30" s="3" t="s">
        <v>258</v>
      </c>
      <c r="B30" s="25" t="s">
        <v>258</v>
      </c>
      <c r="C30" s="3">
        <v>2</v>
      </c>
      <c r="D30" s="3" t="s">
        <v>57</v>
      </c>
      <c r="E30" s="3" t="s">
        <v>137</v>
      </c>
    </row>
    <row r="31" spans="1:5" x14ac:dyDescent="0.25">
      <c r="A31" s="3" t="s">
        <v>259</v>
      </c>
      <c r="B31" s="15" t="s">
        <v>259</v>
      </c>
      <c r="C31" s="3">
        <v>2</v>
      </c>
      <c r="D31" s="3" t="s">
        <v>58</v>
      </c>
      <c r="E31" s="3" t="s">
        <v>137</v>
      </c>
    </row>
    <row r="32" spans="1:5" x14ac:dyDescent="0.25">
      <c r="A32" s="3" t="s">
        <v>260</v>
      </c>
      <c r="B32" s="25" t="s">
        <v>260</v>
      </c>
      <c r="C32" s="3">
        <v>2</v>
      </c>
      <c r="D32" s="3" t="s">
        <v>60</v>
      </c>
      <c r="E32" s="3" t="s">
        <v>137</v>
      </c>
    </row>
    <row r="33" spans="1:5" x14ac:dyDescent="0.25">
      <c r="A33" s="3" t="s">
        <v>261</v>
      </c>
      <c r="B33" s="3" t="s">
        <v>261</v>
      </c>
      <c r="C33" s="3">
        <v>2</v>
      </c>
      <c r="D33" s="3" t="s">
        <v>63</v>
      </c>
      <c r="E33" s="3" t="s">
        <v>137</v>
      </c>
    </row>
    <row r="34" spans="1:5" x14ac:dyDescent="0.25">
      <c r="A34" s="3" t="s">
        <v>262</v>
      </c>
      <c r="B34" s="3" t="s">
        <v>262</v>
      </c>
      <c r="C34" s="3">
        <v>2</v>
      </c>
      <c r="D34" s="3" t="s">
        <v>65</v>
      </c>
      <c r="E34" s="3" t="s">
        <v>137</v>
      </c>
    </row>
    <row r="35" spans="1:5" x14ac:dyDescent="0.25">
      <c r="A35" s="3" t="s">
        <v>263</v>
      </c>
      <c r="B35" s="25" t="s">
        <v>263</v>
      </c>
      <c r="C35" s="3">
        <v>3</v>
      </c>
      <c r="D35" s="3">
        <v>0</v>
      </c>
      <c r="E35" s="3" t="s">
        <v>137</v>
      </c>
    </row>
    <row r="36" spans="1:5" x14ac:dyDescent="0.25">
      <c r="A36" s="3" t="s">
        <v>264</v>
      </c>
      <c r="B36" s="3" t="s">
        <v>264</v>
      </c>
      <c r="C36" s="3">
        <v>3</v>
      </c>
      <c r="D36" s="3">
        <v>1</v>
      </c>
      <c r="E36" s="3" t="s">
        <v>137</v>
      </c>
    </row>
    <row r="37" spans="1:5" x14ac:dyDescent="0.25">
      <c r="A37" s="3" t="s">
        <v>265</v>
      </c>
      <c r="B37" s="25" t="s">
        <v>265</v>
      </c>
      <c r="C37" s="3">
        <v>3</v>
      </c>
      <c r="D37" s="3">
        <v>2</v>
      </c>
      <c r="E37" s="3" t="s">
        <v>137</v>
      </c>
    </row>
    <row r="38" spans="1:5" x14ac:dyDescent="0.25">
      <c r="A38" s="3" t="s">
        <v>266</v>
      </c>
      <c r="B38" s="25" t="s">
        <v>266</v>
      </c>
      <c r="C38" s="3">
        <v>3</v>
      </c>
      <c r="D38" s="3">
        <v>3</v>
      </c>
      <c r="E38" s="3" t="s">
        <v>137</v>
      </c>
    </row>
    <row r="39" spans="1:5" x14ac:dyDescent="0.25">
      <c r="A39" s="3" t="s">
        <v>267</v>
      </c>
      <c r="B39" s="25" t="s">
        <v>267</v>
      </c>
      <c r="C39" s="3">
        <v>3</v>
      </c>
      <c r="D39" s="3">
        <v>4</v>
      </c>
      <c r="E39" s="3" t="s">
        <v>137</v>
      </c>
    </row>
    <row r="40" spans="1:5" x14ac:dyDescent="0.25">
      <c r="A40" s="3" t="s">
        <v>268</v>
      </c>
      <c r="B40" s="3" t="s">
        <v>268</v>
      </c>
      <c r="C40" s="3">
        <v>3</v>
      </c>
      <c r="D40" s="3">
        <v>5</v>
      </c>
      <c r="E40" s="3" t="s">
        <v>137</v>
      </c>
    </row>
  </sheetData>
  <mergeCells count="1">
    <mergeCell ref="A2:J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30BA-7F6B-49D9-92E7-8EEB5DB9580B}">
  <dimension ref="A1:AMM125"/>
  <sheetViews>
    <sheetView zoomScale="98" zoomScaleNormal="100" workbookViewId="0">
      <pane xSplit="1" ySplit="3" topLeftCell="B4" activePane="bottomRight" state="frozen"/>
      <selection pane="topRight" activeCell="B1" sqref="B1"/>
      <selection pane="bottomLeft" activeCell="A4" sqref="A4"/>
      <selection pane="bottomRight" activeCell="D69" sqref="D69"/>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770</v>
      </c>
      <c r="J2" s="3"/>
      <c r="K2" s="1"/>
    </row>
    <row r="3" spans="1:20" x14ac:dyDescent="0.25">
      <c r="A3" s="10" t="s">
        <v>764</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497</v>
      </c>
      <c r="B29" s="53"/>
      <c r="C29" s="53"/>
      <c r="D29" s="53"/>
      <c r="E29" s="53"/>
      <c r="F29" s="53"/>
      <c r="G29" s="53"/>
      <c r="H29" s="53"/>
      <c r="I29" s="53"/>
      <c r="J29" s="53"/>
      <c r="K29" s="101"/>
      <c r="L29" s="102"/>
      <c r="M29" s="102"/>
      <c r="N29" s="102"/>
      <c r="O29" s="102"/>
      <c r="P29" s="102"/>
      <c r="Q29" s="102"/>
      <c r="R29" s="102"/>
      <c r="S29" s="102"/>
      <c r="T29" s="103"/>
    </row>
    <row r="30" spans="1:20" ht="30" x14ac:dyDescent="0.25">
      <c r="A30" s="15"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15"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15" t="s">
        <v>768</v>
      </c>
      <c r="B32" s="3">
        <v>80</v>
      </c>
      <c r="C32" s="73" t="str">
        <f t="shared" ref="C32:C95" si="0">DEC2HEX(HEX2DEC(C31)+1)</f>
        <v>2</v>
      </c>
      <c r="D32" s="3" t="s">
        <v>137</v>
      </c>
      <c r="E32" s="3"/>
      <c r="F32" s="3"/>
      <c r="G32" s="3"/>
      <c r="H32" s="3"/>
      <c r="I32" s="3" t="s">
        <v>103</v>
      </c>
      <c r="J32" s="3"/>
      <c r="K32" s="8" t="s">
        <v>579</v>
      </c>
      <c r="L32" s="3"/>
      <c r="M32" s="3"/>
      <c r="N32" s="3"/>
      <c r="O32" s="3"/>
      <c r="P32" s="3"/>
      <c r="Q32" s="3"/>
      <c r="R32" s="3"/>
      <c r="S32" s="3"/>
      <c r="T32" s="3"/>
    </row>
    <row r="33" spans="1:1027" x14ac:dyDescent="0.25">
      <c r="A33" s="15"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1027" x14ac:dyDescent="0.25">
      <c r="A34" s="77" t="s">
        <v>771</v>
      </c>
      <c r="B34" s="3">
        <v>80</v>
      </c>
      <c r="C34" s="73" t="str">
        <f t="shared" si="0"/>
        <v>4</v>
      </c>
      <c r="D34" s="3"/>
      <c r="E34" s="3"/>
      <c r="F34" s="3"/>
      <c r="G34" s="3"/>
      <c r="H34" s="3"/>
      <c r="I34" s="3"/>
      <c r="J34" s="3"/>
      <c r="L34" s="3"/>
    </row>
    <row r="35" spans="1:1027" x14ac:dyDescent="0.25">
      <c r="A35" s="77" t="s">
        <v>771</v>
      </c>
      <c r="B35" s="3">
        <v>80</v>
      </c>
      <c r="C35" s="73" t="str">
        <f t="shared" si="0"/>
        <v>5</v>
      </c>
      <c r="D35" s="3"/>
      <c r="E35" s="3"/>
      <c r="F35" s="3"/>
      <c r="G35" s="3"/>
      <c r="H35" s="3"/>
      <c r="I35" s="3"/>
      <c r="J35" s="3"/>
      <c r="L35" s="3"/>
    </row>
    <row r="36" spans="1:1027" x14ac:dyDescent="0.25">
      <c r="A36" s="15" t="s">
        <v>307</v>
      </c>
      <c r="B36" s="3">
        <v>80</v>
      </c>
      <c r="C36" s="73" t="str">
        <f t="shared" si="0"/>
        <v>6</v>
      </c>
      <c r="D36" s="3" t="s">
        <v>137</v>
      </c>
      <c r="E36" s="3"/>
      <c r="F36" s="3"/>
      <c r="G36" s="3"/>
      <c r="H36" s="3"/>
      <c r="I36" s="3"/>
      <c r="J36" s="3"/>
      <c r="K36" s="3" t="s">
        <v>308</v>
      </c>
      <c r="L36" s="3"/>
      <c r="M36" s="3"/>
      <c r="N36" s="3"/>
      <c r="O36" s="3"/>
      <c r="P36" s="3"/>
      <c r="Q36" s="3"/>
      <c r="R36" s="3"/>
      <c r="S36" s="3"/>
      <c r="T36" s="3"/>
    </row>
    <row r="37" spans="1:1027" x14ac:dyDescent="0.25">
      <c r="A37" s="15" t="s">
        <v>832</v>
      </c>
      <c r="B37" s="3">
        <v>80</v>
      </c>
      <c r="C37" s="73" t="str">
        <f t="shared" si="0"/>
        <v>7</v>
      </c>
      <c r="D37" s="3" t="s">
        <v>240</v>
      </c>
      <c r="F37" s="3">
        <v>0</v>
      </c>
      <c r="G37" s="3">
        <v>65535</v>
      </c>
      <c r="H37" s="3" t="s">
        <v>633</v>
      </c>
      <c r="I37" s="3" t="s">
        <v>87</v>
      </c>
      <c r="K37" s="3" t="s">
        <v>658</v>
      </c>
      <c r="L37" s="3"/>
      <c r="M37" s="3"/>
      <c r="N37" s="3"/>
      <c r="O37" s="3"/>
      <c r="P37" s="3"/>
      <c r="Q37" s="3"/>
      <c r="R37" s="3"/>
      <c r="S37" s="3"/>
      <c r="T37" s="3"/>
    </row>
    <row r="38" spans="1:1027" x14ac:dyDescent="0.25">
      <c r="A38" s="15" t="s">
        <v>831</v>
      </c>
      <c r="B38" s="3">
        <v>80</v>
      </c>
      <c r="C38" s="73" t="str">
        <f t="shared" si="0"/>
        <v>8</v>
      </c>
      <c r="D38" s="3" t="s">
        <v>240</v>
      </c>
      <c r="F38" s="3">
        <v>0</v>
      </c>
      <c r="G38" s="3">
        <v>65535</v>
      </c>
      <c r="H38" s="3" t="s">
        <v>633</v>
      </c>
      <c r="I38" s="3" t="s">
        <v>87</v>
      </c>
      <c r="K38" s="3" t="s">
        <v>657</v>
      </c>
      <c r="L38" s="3"/>
      <c r="M38" s="3"/>
      <c r="N38" s="3"/>
      <c r="O38" s="3"/>
      <c r="P38" s="3"/>
      <c r="Q38" s="3"/>
      <c r="R38" s="3"/>
      <c r="S38" s="3"/>
      <c r="T38" s="3"/>
    </row>
    <row r="39" spans="1:1027" customFormat="1" x14ac:dyDescent="0.25">
      <c r="A39" s="15" t="s">
        <v>653</v>
      </c>
      <c r="B39" s="3">
        <v>80</v>
      </c>
      <c r="C39" s="73" t="str">
        <f t="shared" si="0"/>
        <v>9</v>
      </c>
      <c r="D39" s="3" t="s">
        <v>240</v>
      </c>
      <c r="E39" s="1"/>
      <c r="F39" s="3">
        <v>0</v>
      </c>
      <c r="G39" s="3">
        <v>65535</v>
      </c>
      <c r="H39" s="3" t="s">
        <v>633</v>
      </c>
      <c r="I39" s="3" t="s">
        <v>87</v>
      </c>
      <c r="J39" s="1"/>
      <c r="K39" s="3" t="s">
        <v>658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5" t="s">
        <v>654</v>
      </c>
      <c r="B40" s="3">
        <v>80</v>
      </c>
      <c r="C40" s="73" t="str">
        <f t="shared" si="0"/>
        <v>A</v>
      </c>
      <c r="D40" s="3" t="s">
        <v>240</v>
      </c>
      <c r="F40" s="3">
        <v>0</v>
      </c>
      <c r="G40" s="3">
        <v>65535</v>
      </c>
      <c r="H40" s="3" t="s">
        <v>633</v>
      </c>
      <c r="I40" s="3" t="s">
        <v>87</v>
      </c>
      <c r="K40" s="3" t="s">
        <v>657</v>
      </c>
      <c r="L40" s="3"/>
      <c r="M40" s="3"/>
      <c r="N40" s="3"/>
      <c r="O40" s="3"/>
      <c r="P40" s="3"/>
      <c r="Q40" s="3"/>
      <c r="R40" s="3"/>
      <c r="S40" s="3"/>
      <c r="T40" s="3"/>
    </row>
    <row r="41" spans="1:1027" x14ac:dyDescent="0.25">
      <c r="A41" s="15" t="s">
        <v>450</v>
      </c>
      <c r="B41" s="3">
        <v>80</v>
      </c>
      <c r="C41" s="73" t="str">
        <f t="shared" si="0"/>
        <v>B</v>
      </c>
      <c r="D41" s="3" t="s">
        <v>225</v>
      </c>
      <c r="E41" s="3"/>
      <c r="F41" s="3">
        <v>-180</v>
      </c>
      <c r="G41" s="3">
        <v>180</v>
      </c>
      <c r="H41" s="3" t="s">
        <v>226</v>
      </c>
      <c r="I41" s="3" t="s">
        <v>93</v>
      </c>
      <c r="J41" s="3"/>
      <c r="L41" s="3"/>
      <c r="M41" s="3"/>
      <c r="N41" s="3"/>
      <c r="O41" s="3"/>
      <c r="P41" s="3"/>
      <c r="Q41" s="3"/>
      <c r="R41" s="3"/>
      <c r="S41" s="3"/>
      <c r="T41" s="3"/>
    </row>
    <row r="42" spans="1:1027" x14ac:dyDescent="0.25">
      <c r="A42" s="15" t="s">
        <v>451</v>
      </c>
      <c r="B42" s="3">
        <v>80</v>
      </c>
      <c r="C42" s="73" t="str">
        <f t="shared" si="0"/>
        <v>C</v>
      </c>
      <c r="D42" s="3" t="s">
        <v>225</v>
      </c>
      <c r="E42" s="3"/>
      <c r="F42" s="3">
        <v>-180</v>
      </c>
      <c r="G42" s="3">
        <v>180</v>
      </c>
      <c r="H42" s="3" t="s">
        <v>226</v>
      </c>
      <c r="I42" s="3" t="s">
        <v>93</v>
      </c>
      <c r="J42" s="3"/>
      <c r="L42" s="3"/>
      <c r="M42" s="3"/>
      <c r="N42" s="3"/>
      <c r="O42" s="3"/>
      <c r="P42" s="3"/>
      <c r="Q42" s="3"/>
      <c r="R42" s="3"/>
      <c r="S42" s="3"/>
      <c r="T42" s="3"/>
    </row>
    <row r="43" spans="1:1027" x14ac:dyDescent="0.25">
      <c r="A43" s="15" t="s">
        <v>452</v>
      </c>
      <c r="B43" s="3">
        <v>80</v>
      </c>
      <c r="C43" s="73" t="str">
        <f t="shared" si="0"/>
        <v>D</v>
      </c>
      <c r="D43" s="3" t="s">
        <v>225</v>
      </c>
      <c r="E43" s="3"/>
      <c r="F43" s="3">
        <v>-180</v>
      </c>
      <c r="G43" s="3">
        <v>180</v>
      </c>
      <c r="H43" s="3" t="s">
        <v>226</v>
      </c>
      <c r="I43" s="3" t="s">
        <v>93</v>
      </c>
      <c r="J43" s="3"/>
      <c r="L43" s="3"/>
      <c r="M43" s="3"/>
      <c r="N43" s="3"/>
      <c r="O43" s="3"/>
      <c r="P43" s="3"/>
      <c r="Q43" s="3"/>
      <c r="R43" s="3"/>
      <c r="S43" s="3"/>
      <c r="T43" s="3"/>
    </row>
    <row r="44" spans="1:1027" x14ac:dyDescent="0.25">
      <c r="A44" s="37" t="s">
        <v>453</v>
      </c>
      <c r="B44" s="3">
        <v>80</v>
      </c>
      <c r="C44" s="73" t="str">
        <f t="shared" si="0"/>
        <v>E</v>
      </c>
      <c r="D44" s="3" t="s">
        <v>225</v>
      </c>
      <c r="E44" s="3"/>
      <c r="F44" s="3"/>
      <c r="G44" s="3"/>
      <c r="H44" s="3"/>
      <c r="I44" s="3" t="s">
        <v>93</v>
      </c>
      <c r="J44" s="3"/>
      <c r="L44" s="3"/>
      <c r="M44" s="3"/>
      <c r="N44" s="3"/>
      <c r="O44" s="3"/>
      <c r="P44" s="3"/>
      <c r="Q44" s="3"/>
      <c r="R44" s="3"/>
      <c r="S44" s="3"/>
      <c r="T44" s="3"/>
    </row>
    <row r="45" spans="1:1027" x14ac:dyDescent="0.25">
      <c r="A45" s="37" t="s">
        <v>454</v>
      </c>
      <c r="B45" s="3">
        <v>80</v>
      </c>
      <c r="C45" s="73" t="str">
        <f t="shared" si="0"/>
        <v>F</v>
      </c>
      <c r="D45" s="3" t="s">
        <v>225</v>
      </c>
      <c r="E45" s="3"/>
      <c r="F45" s="3"/>
      <c r="G45" s="3"/>
      <c r="H45" s="3"/>
      <c r="I45" s="3" t="s">
        <v>93</v>
      </c>
      <c r="J45" s="3"/>
      <c r="L45" s="3"/>
      <c r="M45" s="3"/>
      <c r="N45" s="3"/>
      <c r="O45" s="3"/>
      <c r="P45" s="3"/>
      <c r="Q45" s="3"/>
      <c r="R45" s="3"/>
      <c r="S45" s="3"/>
      <c r="T45" s="3"/>
    </row>
    <row r="46" spans="1:1027" x14ac:dyDescent="0.25">
      <c r="A46" s="37" t="s">
        <v>455</v>
      </c>
      <c r="B46" s="3">
        <v>80</v>
      </c>
      <c r="C46" s="73" t="str">
        <f t="shared" si="0"/>
        <v>10</v>
      </c>
      <c r="D46" s="3" t="s">
        <v>225</v>
      </c>
      <c r="E46" s="3"/>
      <c r="F46" s="3"/>
      <c r="G46" s="3"/>
      <c r="H46" s="3"/>
      <c r="I46" s="3" t="s">
        <v>93</v>
      </c>
      <c r="J46" s="3"/>
      <c r="L46" s="3"/>
      <c r="M46" s="3"/>
      <c r="N46" s="3"/>
      <c r="O46" s="3"/>
      <c r="P46" s="3"/>
      <c r="Q46" s="3"/>
      <c r="R46" s="3"/>
      <c r="S46" s="3"/>
      <c r="T46" s="3"/>
    </row>
    <row r="47" spans="1:1027" x14ac:dyDescent="0.25">
      <c r="A47" s="37" t="s">
        <v>624</v>
      </c>
      <c r="B47" s="3">
        <v>80</v>
      </c>
      <c r="C47" s="73" t="str">
        <f t="shared" si="0"/>
        <v>11</v>
      </c>
      <c r="D47" s="3" t="s">
        <v>137</v>
      </c>
      <c r="E47" s="3"/>
      <c r="F47" s="3">
        <v>0</v>
      </c>
      <c r="G47" s="3">
        <v>3</v>
      </c>
      <c r="H47" s="3"/>
      <c r="I47" s="3" t="s">
        <v>93</v>
      </c>
      <c r="J47" s="3"/>
      <c r="K47" s="3" t="s">
        <v>625</v>
      </c>
      <c r="L47" s="3"/>
      <c r="M47" s="3"/>
      <c r="N47" s="3"/>
      <c r="O47" s="3"/>
      <c r="P47" s="3"/>
      <c r="Q47" s="3"/>
      <c r="R47" s="3"/>
      <c r="S47" s="3"/>
      <c r="T47" s="3"/>
    </row>
    <row r="48" spans="1:1027" x14ac:dyDescent="0.25">
      <c r="A48" s="37" t="s">
        <v>909</v>
      </c>
      <c r="B48" s="3">
        <v>80</v>
      </c>
      <c r="C48" s="73" t="str">
        <f t="shared" si="0"/>
        <v>12</v>
      </c>
      <c r="D48" s="3" t="s">
        <v>240</v>
      </c>
      <c r="E48" s="3"/>
      <c r="F48" s="3">
        <v>0</v>
      </c>
      <c r="G48" s="3">
        <v>65535</v>
      </c>
      <c r="H48" s="3"/>
      <c r="I48" s="3" t="s">
        <v>87</v>
      </c>
      <c r="J48" s="3"/>
      <c r="K48" s="3" t="s">
        <v>910</v>
      </c>
      <c r="L48" s="3"/>
      <c r="M48" s="3"/>
      <c r="N48" s="3"/>
      <c r="O48" s="3"/>
      <c r="P48" s="3"/>
      <c r="Q48" s="3"/>
      <c r="R48" s="3"/>
      <c r="S48" s="3"/>
      <c r="T48" s="3"/>
    </row>
    <row r="49" spans="1:20" x14ac:dyDescent="0.25">
      <c r="A49" s="37" t="s">
        <v>577</v>
      </c>
      <c r="B49" s="3">
        <v>80</v>
      </c>
      <c r="C49" s="73" t="str">
        <f t="shared" si="0"/>
        <v>13</v>
      </c>
      <c r="D49" s="3" t="s">
        <v>140</v>
      </c>
      <c r="E49" s="3"/>
      <c r="F49" s="3">
        <v>0</v>
      </c>
      <c r="G49" s="3">
        <v>1</v>
      </c>
      <c r="H49" s="3"/>
      <c r="I49" s="3" t="s">
        <v>93</v>
      </c>
      <c r="J49" s="3"/>
      <c r="L49" s="3"/>
      <c r="M49" s="3"/>
      <c r="N49" s="3"/>
      <c r="O49" s="3"/>
      <c r="P49" s="3"/>
      <c r="Q49" s="3"/>
      <c r="R49" s="3"/>
      <c r="S49" s="3"/>
      <c r="T49" s="3"/>
    </row>
    <row r="50" spans="1:20" x14ac:dyDescent="0.25">
      <c r="A50" s="37" t="s">
        <v>578</v>
      </c>
      <c r="B50" s="3">
        <v>80</v>
      </c>
      <c r="C50" s="73" t="str">
        <f t="shared" si="0"/>
        <v>14</v>
      </c>
      <c r="D50" s="3" t="s">
        <v>140</v>
      </c>
      <c r="E50" s="3"/>
      <c r="F50" s="3">
        <v>0</v>
      </c>
      <c r="G50" s="3">
        <v>1</v>
      </c>
      <c r="H50" s="3"/>
      <c r="I50" s="3" t="s">
        <v>93</v>
      </c>
      <c r="J50" s="3"/>
      <c r="L50" s="3"/>
      <c r="M50" s="3"/>
      <c r="N50" s="3"/>
      <c r="O50" s="3"/>
      <c r="P50" s="3"/>
      <c r="Q50" s="3"/>
      <c r="R50" s="3"/>
      <c r="S50" s="3"/>
      <c r="T50" s="3"/>
    </row>
    <row r="51" spans="1:20" x14ac:dyDescent="0.25">
      <c r="A51" s="37" t="s">
        <v>499</v>
      </c>
      <c r="B51" s="3">
        <v>80</v>
      </c>
      <c r="C51" s="73" t="str">
        <f t="shared" si="0"/>
        <v>15</v>
      </c>
      <c r="D51" s="3" t="s">
        <v>137</v>
      </c>
      <c r="E51" s="3"/>
      <c r="F51" s="3">
        <v>0</v>
      </c>
      <c r="G51" s="3">
        <v>2</v>
      </c>
      <c r="H51" s="3"/>
      <c r="I51" s="3" t="s">
        <v>93</v>
      </c>
      <c r="J51" s="3"/>
      <c r="K51" s="3" t="s">
        <v>500</v>
      </c>
      <c r="L51" s="3"/>
      <c r="M51" s="3"/>
      <c r="N51" s="3"/>
      <c r="O51" s="3"/>
      <c r="P51" s="3"/>
      <c r="Q51" s="3"/>
      <c r="R51" s="3"/>
      <c r="S51" s="3"/>
      <c r="T51" s="3"/>
    </row>
    <row r="52" spans="1:20" x14ac:dyDescent="0.25">
      <c r="A52" s="21" t="s">
        <v>571</v>
      </c>
      <c r="B52" s="3">
        <v>80</v>
      </c>
      <c r="C52" s="73" t="str">
        <f t="shared" si="0"/>
        <v>16</v>
      </c>
      <c r="D52" s="3" t="s">
        <v>128</v>
      </c>
      <c r="E52" s="3"/>
      <c r="F52" s="3"/>
      <c r="G52" s="3"/>
      <c r="H52" s="3"/>
      <c r="I52" s="3"/>
      <c r="J52" s="3"/>
      <c r="L52" s="3"/>
      <c r="M52" s="3"/>
      <c r="N52" s="3"/>
      <c r="O52" s="3"/>
      <c r="P52" s="3"/>
      <c r="Q52" s="3"/>
      <c r="R52" s="3"/>
      <c r="S52" s="3"/>
      <c r="T52" s="3"/>
    </row>
    <row r="53" spans="1:20" x14ac:dyDescent="0.25">
      <c r="A53" s="21" t="s">
        <v>570</v>
      </c>
      <c r="B53" s="3">
        <v>80</v>
      </c>
      <c r="C53" s="73" t="str">
        <f t="shared" si="0"/>
        <v>17</v>
      </c>
      <c r="D53" s="3" t="s">
        <v>128</v>
      </c>
      <c r="E53" s="3"/>
      <c r="F53" s="3"/>
      <c r="G53" s="3"/>
      <c r="H53" s="3"/>
      <c r="I53" s="3"/>
      <c r="J53" s="3"/>
      <c r="L53" s="3"/>
      <c r="M53" s="3"/>
      <c r="N53" s="3"/>
      <c r="O53" s="3"/>
      <c r="P53" s="3"/>
      <c r="Q53" s="3"/>
      <c r="R53" s="3"/>
      <c r="S53" s="3"/>
      <c r="T53" s="3"/>
    </row>
    <row r="54" spans="1:20" x14ac:dyDescent="0.25">
      <c r="A54" s="21" t="s">
        <v>572</v>
      </c>
      <c r="B54" s="3">
        <v>80</v>
      </c>
      <c r="C54" s="73" t="str">
        <f t="shared" si="0"/>
        <v>18</v>
      </c>
      <c r="D54" s="3" t="s">
        <v>128</v>
      </c>
      <c r="E54" s="3"/>
      <c r="F54" s="3"/>
      <c r="G54" s="3"/>
      <c r="H54" s="3"/>
      <c r="I54" s="3"/>
      <c r="J54" s="3"/>
      <c r="L54" s="3"/>
      <c r="M54" s="3"/>
      <c r="N54" s="3"/>
      <c r="O54" s="3"/>
      <c r="P54" s="3"/>
      <c r="Q54" s="3"/>
      <c r="R54" s="3"/>
      <c r="S54" s="3"/>
      <c r="T54" s="3"/>
    </row>
    <row r="55" spans="1:20" x14ac:dyDescent="0.25">
      <c r="A55" s="21" t="s">
        <v>573</v>
      </c>
      <c r="B55" s="3">
        <v>80</v>
      </c>
      <c r="C55" s="73" t="str">
        <f t="shared" si="0"/>
        <v>19</v>
      </c>
      <c r="D55" s="3" t="s">
        <v>128</v>
      </c>
      <c r="E55" s="3"/>
      <c r="F55" s="3"/>
      <c r="G55" s="3"/>
      <c r="H55" s="3"/>
      <c r="I55" s="3"/>
      <c r="J55" s="3"/>
      <c r="L55" s="3"/>
      <c r="M55" s="3"/>
      <c r="N55" s="3"/>
      <c r="O55" s="3"/>
      <c r="P55" s="3"/>
      <c r="Q55" s="3"/>
      <c r="R55" s="3"/>
      <c r="S55" s="3"/>
      <c r="T55" s="3"/>
    </row>
    <row r="56" spans="1:20" x14ac:dyDescent="0.25">
      <c r="A56" s="37" t="s">
        <v>780</v>
      </c>
      <c r="B56" s="3">
        <v>80</v>
      </c>
      <c r="C56" s="73" t="str">
        <f t="shared" si="0"/>
        <v>1A</v>
      </c>
      <c r="D56" s="3" t="s">
        <v>137</v>
      </c>
      <c r="E56" s="3"/>
      <c r="F56" s="3">
        <v>0</v>
      </c>
      <c r="G56" s="3">
        <v>2</v>
      </c>
      <c r="H56" s="3"/>
      <c r="I56" s="3" t="s">
        <v>93</v>
      </c>
      <c r="J56" s="3"/>
      <c r="K56" s="3" t="s">
        <v>500</v>
      </c>
      <c r="L56" s="3"/>
      <c r="M56" s="3"/>
      <c r="N56" s="3"/>
      <c r="O56" s="3"/>
      <c r="P56" s="3"/>
      <c r="Q56" s="3"/>
      <c r="R56" s="3"/>
      <c r="S56" s="3"/>
      <c r="T56" s="3"/>
    </row>
    <row r="57" spans="1:20" x14ac:dyDescent="0.25">
      <c r="A57" s="21" t="s">
        <v>528</v>
      </c>
      <c r="B57" s="3">
        <v>80</v>
      </c>
      <c r="C57" s="73" t="str">
        <f t="shared" si="0"/>
        <v>1B</v>
      </c>
      <c r="D57" s="3" t="s">
        <v>128</v>
      </c>
      <c r="E57" s="3"/>
      <c r="F57" s="3"/>
      <c r="G57" s="3"/>
      <c r="H57" s="3"/>
      <c r="I57" s="3"/>
      <c r="J57" s="3"/>
      <c r="L57" s="3"/>
      <c r="M57" s="3"/>
      <c r="N57" s="3"/>
      <c r="O57" s="3"/>
      <c r="P57" s="3"/>
      <c r="Q57" s="3"/>
      <c r="R57" s="3"/>
      <c r="S57" s="3"/>
      <c r="T57" s="3"/>
    </row>
    <row r="58" spans="1:20" x14ac:dyDescent="0.25">
      <c r="A58" s="21" t="s">
        <v>529</v>
      </c>
      <c r="B58" s="3">
        <v>80</v>
      </c>
      <c r="C58" s="73" t="str">
        <f t="shared" si="0"/>
        <v>1C</v>
      </c>
      <c r="D58" s="3"/>
      <c r="E58" s="3"/>
      <c r="F58" s="3"/>
      <c r="G58" s="3"/>
      <c r="H58" s="3"/>
      <c r="I58" s="3"/>
      <c r="J58" s="3"/>
      <c r="L58" s="3"/>
      <c r="M58" s="3"/>
      <c r="N58" s="3"/>
      <c r="O58" s="3"/>
      <c r="P58" s="3"/>
      <c r="Q58" s="3"/>
      <c r="R58" s="3"/>
      <c r="S58" s="3"/>
      <c r="T58" s="3"/>
    </row>
    <row r="59" spans="1:20" x14ac:dyDescent="0.25">
      <c r="A59" s="21" t="s">
        <v>530</v>
      </c>
      <c r="B59" s="3">
        <v>80</v>
      </c>
      <c r="C59" s="73" t="str">
        <f t="shared" si="0"/>
        <v>1D</v>
      </c>
      <c r="D59" s="3"/>
      <c r="E59" s="3"/>
      <c r="F59" s="3"/>
      <c r="G59" s="3"/>
      <c r="H59" s="3"/>
      <c r="I59" s="3"/>
      <c r="J59" s="3"/>
      <c r="L59" s="3"/>
      <c r="M59" s="3"/>
      <c r="N59" s="3"/>
      <c r="O59" s="3"/>
      <c r="P59" s="3"/>
      <c r="Q59" s="3"/>
      <c r="R59" s="3"/>
      <c r="S59" s="3"/>
      <c r="T59" s="3"/>
    </row>
    <row r="60" spans="1:20" x14ac:dyDescent="0.25">
      <c r="A60" s="37" t="s">
        <v>781</v>
      </c>
      <c r="B60" s="3">
        <v>80</v>
      </c>
      <c r="C60" s="73" t="str">
        <f t="shared" si="0"/>
        <v>1E</v>
      </c>
      <c r="D60" s="3" t="s">
        <v>137</v>
      </c>
      <c r="E60" s="3"/>
      <c r="F60" s="3">
        <v>0</v>
      </c>
      <c r="G60" s="3">
        <v>2</v>
      </c>
      <c r="H60" s="3"/>
      <c r="I60" s="3" t="s">
        <v>93</v>
      </c>
      <c r="J60" s="3"/>
      <c r="K60" s="3" t="s">
        <v>500</v>
      </c>
      <c r="L60" s="3"/>
      <c r="M60" s="3"/>
      <c r="N60" s="3"/>
      <c r="O60" s="3"/>
      <c r="P60" s="3"/>
      <c r="Q60" s="3"/>
      <c r="R60" s="3"/>
      <c r="S60" s="3"/>
      <c r="T60" s="3"/>
    </row>
    <row r="61" spans="1:20" x14ac:dyDescent="0.25">
      <c r="A61" s="21" t="s">
        <v>541</v>
      </c>
      <c r="B61" s="3">
        <v>80</v>
      </c>
      <c r="C61" s="73" t="str">
        <f t="shared" si="0"/>
        <v>1F</v>
      </c>
      <c r="D61" s="3" t="s">
        <v>128</v>
      </c>
      <c r="E61" s="3"/>
      <c r="F61" s="3"/>
      <c r="G61" s="3"/>
      <c r="H61" s="3"/>
      <c r="I61" s="3"/>
      <c r="J61" s="3"/>
      <c r="L61" s="3"/>
      <c r="M61" s="3"/>
      <c r="N61" s="3"/>
      <c r="O61" s="3"/>
      <c r="P61" s="3"/>
      <c r="Q61" s="3"/>
      <c r="R61" s="3"/>
      <c r="S61" s="3"/>
      <c r="T61" s="3"/>
    </row>
    <row r="62" spans="1:20" x14ac:dyDescent="0.25">
      <c r="A62" s="21" t="s">
        <v>542</v>
      </c>
      <c r="B62" s="3">
        <v>80</v>
      </c>
      <c r="C62" s="73" t="str">
        <f t="shared" si="0"/>
        <v>20</v>
      </c>
      <c r="D62" s="3"/>
      <c r="E62" s="3"/>
      <c r="F62" s="3"/>
      <c r="G62" s="3"/>
      <c r="H62" s="3"/>
      <c r="I62" s="3"/>
      <c r="J62" s="3"/>
      <c r="L62" s="3"/>
      <c r="M62" s="3"/>
      <c r="N62" s="3"/>
      <c r="O62" s="3"/>
      <c r="P62" s="3"/>
      <c r="Q62" s="3"/>
      <c r="R62" s="3"/>
      <c r="S62" s="3"/>
      <c r="T62" s="3"/>
    </row>
    <row r="63" spans="1:20" x14ac:dyDescent="0.25">
      <c r="A63" s="21" t="s">
        <v>543</v>
      </c>
      <c r="B63" s="3">
        <v>80</v>
      </c>
      <c r="C63" s="73" t="str">
        <f t="shared" si="0"/>
        <v>21</v>
      </c>
      <c r="D63" s="3"/>
      <c r="E63" s="3"/>
      <c r="F63" s="3"/>
      <c r="G63" s="3"/>
      <c r="H63" s="3"/>
      <c r="I63" s="3"/>
      <c r="J63" s="3"/>
      <c r="L63" s="3"/>
      <c r="M63" s="3"/>
      <c r="N63" s="3"/>
      <c r="O63" s="3"/>
      <c r="P63" s="3"/>
      <c r="Q63" s="3"/>
      <c r="R63" s="3"/>
      <c r="S63" s="3"/>
      <c r="T63" s="3"/>
    </row>
    <row r="64" spans="1:20" x14ac:dyDescent="0.25">
      <c r="A64" s="37" t="s">
        <v>782</v>
      </c>
      <c r="B64" s="3">
        <v>80</v>
      </c>
      <c r="C64" s="73" t="str">
        <f t="shared" si="0"/>
        <v>22</v>
      </c>
      <c r="D64" s="3" t="s">
        <v>137</v>
      </c>
      <c r="E64" s="3"/>
      <c r="F64" s="3">
        <v>0</v>
      </c>
      <c r="G64" s="3">
        <v>2</v>
      </c>
      <c r="H64" s="3"/>
      <c r="I64" s="3" t="s">
        <v>93</v>
      </c>
      <c r="J64" s="3"/>
      <c r="K64" s="3" t="s">
        <v>500</v>
      </c>
      <c r="L64" s="3"/>
      <c r="M64" s="3"/>
      <c r="N64" s="3"/>
      <c r="O64" s="3"/>
      <c r="P64" s="3"/>
      <c r="Q64" s="3"/>
      <c r="R64" s="3"/>
      <c r="S64" s="3"/>
      <c r="T64" s="3"/>
    </row>
    <row r="65" spans="1:20" x14ac:dyDescent="0.25">
      <c r="A65" s="21" t="s">
        <v>544</v>
      </c>
      <c r="B65" s="3">
        <v>80</v>
      </c>
      <c r="C65" s="73" t="str">
        <f t="shared" si="0"/>
        <v>23</v>
      </c>
      <c r="D65" s="3" t="s">
        <v>128</v>
      </c>
      <c r="E65" s="3"/>
      <c r="F65" s="3"/>
      <c r="G65" s="3"/>
      <c r="H65" s="3"/>
      <c r="I65" s="3"/>
      <c r="J65" s="3"/>
      <c r="L65" s="3"/>
      <c r="M65" s="3"/>
      <c r="N65" s="3"/>
      <c r="O65" s="3"/>
      <c r="P65" s="3"/>
      <c r="Q65" s="3"/>
      <c r="R65" s="3"/>
      <c r="S65" s="3"/>
      <c r="T65" s="3"/>
    </row>
    <row r="66" spans="1:20" x14ac:dyDescent="0.25">
      <c r="A66" s="21" t="s">
        <v>545</v>
      </c>
      <c r="B66" s="3">
        <v>80</v>
      </c>
      <c r="C66" s="73" t="str">
        <f t="shared" si="0"/>
        <v>24</v>
      </c>
      <c r="D66" s="3"/>
      <c r="E66" s="3"/>
      <c r="F66" s="3"/>
      <c r="G66" s="3"/>
      <c r="H66" s="3"/>
      <c r="I66" s="3"/>
      <c r="J66" s="3"/>
      <c r="L66" s="3"/>
      <c r="M66" s="3"/>
      <c r="N66" s="3"/>
      <c r="O66" s="3"/>
      <c r="P66" s="3"/>
      <c r="Q66" s="3"/>
      <c r="R66" s="3"/>
      <c r="S66" s="3"/>
      <c r="T66" s="3"/>
    </row>
    <row r="67" spans="1:20" x14ac:dyDescent="0.25">
      <c r="A67" s="21" t="s">
        <v>546</v>
      </c>
      <c r="B67" s="3">
        <v>80</v>
      </c>
      <c r="C67" s="73" t="str">
        <f t="shared" si="0"/>
        <v>25</v>
      </c>
      <c r="D67" s="3"/>
      <c r="E67" s="3"/>
      <c r="F67" s="3"/>
      <c r="G67" s="3"/>
      <c r="H67" s="3"/>
      <c r="I67" s="3"/>
      <c r="J67" s="3"/>
      <c r="L67" s="3"/>
      <c r="M67" s="3"/>
      <c r="N67" s="3"/>
      <c r="O67" s="3"/>
      <c r="P67" s="3"/>
      <c r="Q67" s="3"/>
      <c r="R67" s="3"/>
      <c r="S67" s="3"/>
      <c r="T67" s="3"/>
    </row>
    <row r="68" spans="1:20" x14ac:dyDescent="0.25">
      <c r="A68" s="37" t="s">
        <v>783</v>
      </c>
      <c r="B68" s="3">
        <v>80</v>
      </c>
      <c r="C68" s="73" t="str">
        <f t="shared" si="0"/>
        <v>26</v>
      </c>
      <c r="D68" s="3" t="s">
        <v>137</v>
      </c>
      <c r="E68" s="3"/>
      <c r="F68" s="3">
        <v>0</v>
      </c>
      <c r="G68" s="3">
        <v>2</v>
      </c>
      <c r="H68" s="3"/>
      <c r="I68" s="3" t="s">
        <v>93</v>
      </c>
      <c r="J68" s="3"/>
      <c r="K68" s="3" t="s">
        <v>500</v>
      </c>
      <c r="L68" s="3"/>
      <c r="M68" s="3"/>
      <c r="N68" s="3"/>
      <c r="O68" s="3"/>
      <c r="P68" s="3"/>
      <c r="Q68" s="3"/>
      <c r="R68" s="3"/>
      <c r="S68" s="3"/>
      <c r="T68" s="3"/>
    </row>
    <row r="69" spans="1:20" x14ac:dyDescent="0.25">
      <c r="A69" s="21" t="s">
        <v>547</v>
      </c>
      <c r="B69" s="3">
        <v>80</v>
      </c>
      <c r="C69" s="73" t="str">
        <f t="shared" si="0"/>
        <v>27</v>
      </c>
      <c r="D69" s="3" t="s">
        <v>128</v>
      </c>
      <c r="E69" s="3"/>
      <c r="F69" s="3"/>
      <c r="G69" s="3"/>
      <c r="H69" s="3"/>
      <c r="I69" s="3"/>
      <c r="J69" s="3"/>
      <c r="L69" s="3"/>
      <c r="M69" s="3"/>
      <c r="N69" s="3"/>
      <c r="O69" s="3"/>
      <c r="P69" s="3"/>
      <c r="Q69" s="3"/>
      <c r="R69" s="3"/>
      <c r="S69" s="3"/>
      <c r="T69" s="3"/>
    </row>
    <row r="70" spans="1:20" x14ac:dyDescent="0.25">
      <c r="A70" s="21" t="s">
        <v>548</v>
      </c>
      <c r="B70" s="3">
        <v>80</v>
      </c>
      <c r="C70" s="73" t="str">
        <f t="shared" si="0"/>
        <v>28</v>
      </c>
      <c r="D70" s="3"/>
      <c r="E70" s="3"/>
      <c r="F70" s="3"/>
      <c r="G70" s="3"/>
      <c r="H70" s="3"/>
      <c r="I70" s="3"/>
      <c r="J70" s="3"/>
      <c r="L70" s="3"/>
      <c r="M70" s="3"/>
      <c r="N70" s="3"/>
      <c r="O70" s="3"/>
      <c r="P70" s="3"/>
      <c r="Q70" s="3"/>
      <c r="R70" s="3"/>
      <c r="S70" s="3"/>
      <c r="T70" s="3"/>
    </row>
    <row r="71" spans="1:20" x14ac:dyDescent="0.25">
      <c r="A71" s="21" t="s">
        <v>549</v>
      </c>
      <c r="B71" s="3">
        <v>80</v>
      </c>
      <c r="C71" s="73" t="str">
        <f t="shared" si="0"/>
        <v>29</v>
      </c>
      <c r="D71" s="3"/>
      <c r="E71" s="3"/>
      <c r="F71" s="3"/>
      <c r="G71" s="3"/>
      <c r="H71" s="3"/>
      <c r="I71" s="3"/>
      <c r="J71" s="3"/>
      <c r="L71" s="3"/>
      <c r="M71" s="3"/>
      <c r="N71" s="3"/>
      <c r="O71" s="3"/>
      <c r="P71" s="3"/>
      <c r="Q71" s="3"/>
      <c r="R71" s="3"/>
      <c r="S71" s="3"/>
      <c r="T71" s="3"/>
    </row>
    <row r="72" spans="1:20" x14ac:dyDescent="0.25">
      <c r="A72" s="15" t="s">
        <v>829</v>
      </c>
      <c r="B72" s="3">
        <v>80</v>
      </c>
      <c r="C72" s="73" t="str">
        <f t="shared" si="0"/>
        <v>2A</v>
      </c>
      <c r="D72" s="3" t="s">
        <v>128</v>
      </c>
      <c r="F72" s="3">
        <v>0</v>
      </c>
      <c r="G72" s="3">
        <v>6000</v>
      </c>
      <c r="H72" s="3" t="s">
        <v>633</v>
      </c>
      <c r="I72" s="3" t="s">
        <v>87</v>
      </c>
      <c r="K72" s="3" t="s">
        <v>830</v>
      </c>
      <c r="L72" s="3"/>
      <c r="M72" s="3"/>
      <c r="N72" s="3"/>
      <c r="O72" s="3"/>
      <c r="P72" s="3"/>
      <c r="Q72" s="3"/>
      <c r="R72" s="3"/>
      <c r="S72" s="3"/>
      <c r="T72" s="3"/>
    </row>
    <row r="73" spans="1:20" x14ac:dyDescent="0.25">
      <c r="A73" s="37" t="s">
        <v>913</v>
      </c>
      <c r="B73" s="3">
        <v>80</v>
      </c>
      <c r="C73" s="73" t="str">
        <f t="shared" si="0"/>
        <v>2B</v>
      </c>
      <c r="D73" s="3" t="s">
        <v>240</v>
      </c>
      <c r="E73" s="3"/>
      <c r="F73" s="3">
        <v>0</v>
      </c>
      <c r="G73" s="3">
        <v>65535</v>
      </c>
      <c r="H73" s="3" t="s">
        <v>633</v>
      </c>
      <c r="I73" s="3" t="s">
        <v>87</v>
      </c>
      <c r="J73" s="3"/>
      <c r="L73" s="3"/>
      <c r="M73" s="3"/>
      <c r="N73" s="3"/>
      <c r="O73" s="3"/>
      <c r="P73" s="3"/>
      <c r="Q73" s="3"/>
      <c r="R73" s="3"/>
      <c r="S73" s="3"/>
      <c r="T73" s="3"/>
    </row>
    <row r="74" spans="1:20" x14ac:dyDescent="0.25">
      <c r="A74" s="37" t="s">
        <v>914</v>
      </c>
      <c r="B74" s="3">
        <v>80</v>
      </c>
      <c r="C74" s="73" t="str">
        <f t="shared" si="0"/>
        <v>2C</v>
      </c>
      <c r="D74" s="3" t="s">
        <v>240</v>
      </c>
      <c r="E74" s="3"/>
      <c r="F74" s="3">
        <v>0</v>
      </c>
      <c r="G74" s="3">
        <v>65535</v>
      </c>
      <c r="H74" s="3" t="s">
        <v>633</v>
      </c>
      <c r="I74" s="3" t="s">
        <v>87</v>
      </c>
      <c r="J74" s="3"/>
      <c r="L74" s="3"/>
      <c r="M74" s="3"/>
      <c r="N74" s="3"/>
      <c r="O74" s="3"/>
      <c r="P74" s="3"/>
      <c r="Q74" s="3"/>
      <c r="R74" s="3"/>
      <c r="S74" s="3"/>
      <c r="T74" s="3"/>
    </row>
    <row r="75" spans="1:20" x14ac:dyDescent="0.25">
      <c r="A75" s="37" t="s">
        <v>915</v>
      </c>
      <c r="B75" s="3">
        <v>80</v>
      </c>
      <c r="C75" s="73" t="str">
        <f t="shared" si="0"/>
        <v>2D</v>
      </c>
      <c r="D75" s="3" t="s">
        <v>240</v>
      </c>
      <c r="E75" s="3"/>
      <c r="F75" s="3">
        <v>0</v>
      </c>
      <c r="G75" s="3">
        <v>65535</v>
      </c>
      <c r="H75" s="3" t="s">
        <v>633</v>
      </c>
      <c r="I75" s="3" t="s">
        <v>87</v>
      </c>
      <c r="J75" s="3"/>
      <c r="L75" s="3"/>
      <c r="M75" s="3"/>
      <c r="N75" s="3"/>
      <c r="O75" s="3"/>
      <c r="P75" s="3"/>
      <c r="Q75" s="3"/>
      <c r="R75" s="3"/>
      <c r="S75" s="3"/>
      <c r="T75" s="3"/>
    </row>
    <row r="76" spans="1:20" x14ac:dyDescent="0.25">
      <c r="A76" s="37" t="s">
        <v>916</v>
      </c>
      <c r="B76" s="3">
        <v>80</v>
      </c>
      <c r="C76" s="73" t="str">
        <f t="shared" si="0"/>
        <v>2E</v>
      </c>
      <c r="D76" s="3" t="s">
        <v>240</v>
      </c>
      <c r="E76" s="3"/>
      <c r="F76" s="3">
        <v>0</v>
      </c>
      <c r="G76" s="3">
        <v>65535</v>
      </c>
      <c r="H76" s="3" t="s">
        <v>633</v>
      </c>
      <c r="I76" s="3" t="s">
        <v>87</v>
      </c>
      <c r="J76" s="3"/>
      <c r="L76" s="3"/>
      <c r="M76" s="3"/>
      <c r="N76" s="3"/>
      <c r="O76" s="3"/>
      <c r="P76" s="3"/>
      <c r="Q76" s="3"/>
      <c r="R76" s="3"/>
      <c r="S76" s="3"/>
      <c r="T76" s="3"/>
    </row>
    <row r="77" spans="1:20" x14ac:dyDescent="0.25">
      <c r="A77" s="42" t="s">
        <v>343</v>
      </c>
      <c r="B77" s="3">
        <v>80</v>
      </c>
      <c r="C77" s="73" t="str">
        <f t="shared" si="0"/>
        <v>2F</v>
      </c>
      <c r="D77" s="3"/>
      <c r="E77" s="3"/>
      <c r="F77" s="3"/>
      <c r="G77" s="3"/>
      <c r="H77" s="3"/>
      <c r="I77" s="3"/>
      <c r="J77" s="3"/>
      <c r="L77" s="3"/>
      <c r="M77" s="3"/>
      <c r="N77" s="3"/>
      <c r="O77" s="3"/>
      <c r="P77" s="3"/>
      <c r="Q77" s="3"/>
      <c r="R77" s="3"/>
      <c r="S77" s="3"/>
      <c r="T77" s="3"/>
    </row>
    <row r="78" spans="1:20" x14ac:dyDescent="0.25">
      <c r="A78" s="42" t="s">
        <v>343</v>
      </c>
      <c r="B78" s="3">
        <v>80</v>
      </c>
      <c r="C78" s="73" t="str">
        <f t="shared" si="0"/>
        <v>30</v>
      </c>
      <c r="D78" s="3"/>
      <c r="E78" s="3"/>
      <c r="F78" s="3"/>
      <c r="G78" s="3"/>
      <c r="H78" s="3"/>
      <c r="I78" s="3"/>
      <c r="J78" s="3"/>
      <c r="L78" s="3"/>
      <c r="M78" s="3"/>
      <c r="N78" s="3"/>
      <c r="O78" s="3"/>
      <c r="P78" s="3"/>
      <c r="Q78" s="3"/>
      <c r="R78" s="3"/>
      <c r="S78" s="3"/>
      <c r="T78" s="3"/>
    </row>
    <row r="79" spans="1:20" x14ac:dyDescent="0.25">
      <c r="A79" s="42" t="s">
        <v>343</v>
      </c>
      <c r="B79" s="3">
        <v>80</v>
      </c>
      <c r="C79" s="73" t="str">
        <f t="shared" si="0"/>
        <v>31</v>
      </c>
      <c r="D79" s="3"/>
      <c r="E79" s="3"/>
      <c r="F79" s="3"/>
      <c r="G79" s="3"/>
      <c r="H79" s="3"/>
      <c r="I79" s="3"/>
      <c r="J79" s="3"/>
      <c r="L79" s="3"/>
      <c r="M79" s="3"/>
      <c r="N79" s="3"/>
      <c r="O79" s="3"/>
      <c r="P79" s="3"/>
      <c r="Q79" s="3"/>
      <c r="R79" s="3"/>
      <c r="S79" s="3"/>
      <c r="T79" s="3"/>
    </row>
    <row r="80" spans="1:20" x14ac:dyDescent="0.25">
      <c r="A80" s="42" t="s">
        <v>343</v>
      </c>
      <c r="B80" s="3">
        <v>80</v>
      </c>
      <c r="C80" s="73" t="str">
        <f t="shared" si="0"/>
        <v>32</v>
      </c>
      <c r="D80" s="3"/>
      <c r="E80" s="3"/>
      <c r="F80" s="3"/>
      <c r="G80" s="3"/>
      <c r="H80" s="3"/>
      <c r="I80" s="3"/>
      <c r="J80" s="3"/>
      <c r="L80" s="3"/>
      <c r="M80" s="3"/>
      <c r="N80" s="3"/>
      <c r="O80" s="3"/>
      <c r="P80" s="3"/>
      <c r="Q80" s="3"/>
      <c r="R80" s="3"/>
      <c r="S80" s="3"/>
      <c r="T80" s="3"/>
    </row>
    <row r="81" spans="1:20" x14ac:dyDescent="0.25">
      <c r="A81" s="42" t="s">
        <v>343</v>
      </c>
      <c r="B81" s="3">
        <v>80</v>
      </c>
      <c r="C81" s="73" t="str">
        <f t="shared" si="0"/>
        <v>33</v>
      </c>
      <c r="D81" s="3"/>
      <c r="E81" s="3"/>
      <c r="F81" s="3"/>
      <c r="G81" s="3"/>
      <c r="H81" s="3"/>
      <c r="I81" s="3"/>
      <c r="J81" s="3"/>
      <c r="L81" s="3"/>
      <c r="M81" s="3"/>
      <c r="N81" s="3"/>
      <c r="O81" s="3"/>
      <c r="P81" s="3"/>
      <c r="Q81" s="3"/>
      <c r="R81" s="3"/>
      <c r="S81" s="3"/>
      <c r="T81" s="3"/>
    </row>
    <row r="82" spans="1:20" x14ac:dyDescent="0.25">
      <c r="A82" s="42" t="s">
        <v>343</v>
      </c>
      <c r="B82" s="3">
        <v>80</v>
      </c>
      <c r="C82" s="73" t="str">
        <f t="shared" si="0"/>
        <v>34</v>
      </c>
      <c r="D82" s="3"/>
      <c r="E82" s="3"/>
      <c r="F82" s="3"/>
      <c r="G82" s="3"/>
      <c r="H82" s="3"/>
      <c r="I82" s="3"/>
      <c r="J82" s="3"/>
      <c r="L82" s="3"/>
      <c r="M82" s="3"/>
      <c r="N82" s="3"/>
      <c r="O82" s="3"/>
      <c r="P82" s="3"/>
      <c r="Q82" s="3"/>
      <c r="R82" s="3"/>
      <c r="S82" s="3"/>
      <c r="T82" s="3"/>
    </row>
    <row r="83" spans="1:20" x14ac:dyDescent="0.25">
      <c r="A83" s="42" t="s">
        <v>343</v>
      </c>
      <c r="B83" s="3">
        <v>80</v>
      </c>
      <c r="C83" s="73" t="str">
        <f t="shared" si="0"/>
        <v>35</v>
      </c>
      <c r="D83" s="3"/>
      <c r="E83" s="3"/>
      <c r="F83" s="3"/>
      <c r="G83" s="3"/>
      <c r="H83" s="3"/>
      <c r="I83" s="3"/>
      <c r="J83" s="3"/>
      <c r="L83" s="3"/>
      <c r="M83" s="3"/>
      <c r="N83" s="3"/>
      <c r="O83" s="3"/>
      <c r="P83" s="3"/>
      <c r="Q83" s="3"/>
      <c r="R83" s="3"/>
      <c r="S83" s="3"/>
      <c r="T83" s="3"/>
    </row>
    <row r="84" spans="1:20" x14ac:dyDescent="0.25">
      <c r="A84" s="42" t="s">
        <v>343</v>
      </c>
      <c r="B84" s="3">
        <v>80</v>
      </c>
      <c r="C84" s="73" t="str">
        <f t="shared" si="0"/>
        <v>36</v>
      </c>
      <c r="D84" s="3"/>
      <c r="E84" s="3"/>
      <c r="F84" s="3"/>
      <c r="G84" s="3"/>
      <c r="H84" s="3"/>
      <c r="I84" s="3"/>
      <c r="J84" s="3"/>
      <c r="L84" s="3"/>
      <c r="M84" s="3"/>
      <c r="N84" s="3"/>
      <c r="O84" s="3"/>
      <c r="P84" s="3"/>
      <c r="Q84" s="3"/>
      <c r="R84" s="3"/>
      <c r="S84" s="3"/>
      <c r="T84" s="3"/>
    </row>
    <row r="85" spans="1:20" x14ac:dyDescent="0.25">
      <c r="A85" s="42" t="s">
        <v>343</v>
      </c>
      <c r="B85" s="3">
        <v>80</v>
      </c>
      <c r="C85" s="73" t="str">
        <f t="shared" si="0"/>
        <v>37</v>
      </c>
      <c r="D85" s="3"/>
      <c r="E85" s="3"/>
      <c r="F85" s="3"/>
      <c r="G85" s="3"/>
      <c r="H85" s="3"/>
      <c r="I85" s="3"/>
      <c r="J85" s="3"/>
      <c r="L85" s="3"/>
      <c r="M85" s="3"/>
      <c r="N85" s="3"/>
      <c r="O85" s="3"/>
      <c r="P85" s="3"/>
      <c r="Q85" s="3"/>
      <c r="R85" s="3"/>
      <c r="S85" s="3"/>
      <c r="T85" s="3"/>
    </row>
    <row r="86" spans="1:20" x14ac:dyDescent="0.25">
      <c r="A86" s="42" t="s">
        <v>343</v>
      </c>
      <c r="B86" s="3">
        <v>80</v>
      </c>
      <c r="C86" s="73" t="str">
        <f t="shared" si="0"/>
        <v>38</v>
      </c>
      <c r="D86" s="3"/>
      <c r="E86" s="3"/>
      <c r="F86" s="3"/>
      <c r="G86" s="3"/>
      <c r="H86" s="3"/>
      <c r="I86" s="3"/>
      <c r="J86" s="3"/>
      <c r="L86" s="3"/>
      <c r="M86" s="3"/>
      <c r="N86" s="3"/>
      <c r="O86" s="3"/>
      <c r="P86" s="3"/>
      <c r="Q86" s="3"/>
      <c r="R86" s="3"/>
      <c r="S86" s="3"/>
      <c r="T86" s="3"/>
    </row>
    <row r="87" spans="1:20" x14ac:dyDescent="0.25">
      <c r="A87" s="42" t="s">
        <v>343</v>
      </c>
      <c r="B87" s="3">
        <v>80</v>
      </c>
      <c r="C87" s="73" t="str">
        <f t="shared" si="0"/>
        <v>39</v>
      </c>
      <c r="D87" s="3"/>
      <c r="E87" s="3"/>
      <c r="F87" s="3"/>
      <c r="G87" s="3"/>
      <c r="H87" s="3"/>
      <c r="I87" s="3"/>
      <c r="J87" s="3"/>
      <c r="L87" s="3"/>
      <c r="M87" s="3"/>
      <c r="N87" s="3"/>
      <c r="O87" s="3"/>
      <c r="P87" s="3"/>
      <c r="Q87" s="3"/>
      <c r="R87" s="3"/>
      <c r="S87" s="3"/>
      <c r="T87" s="3"/>
    </row>
    <row r="88" spans="1:20" x14ac:dyDescent="0.25">
      <c r="A88" s="42" t="s">
        <v>343</v>
      </c>
      <c r="B88" s="3">
        <v>80</v>
      </c>
      <c r="C88" s="73" t="str">
        <f t="shared" si="0"/>
        <v>3A</v>
      </c>
      <c r="D88" s="3"/>
      <c r="E88" s="3"/>
      <c r="F88" s="3"/>
      <c r="G88" s="3"/>
      <c r="H88" s="3"/>
      <c r="I88" s="3"/>
      <c r="J88" s="3"/>
      <c r="L88" s="3"/>
      <c r="M88" s="3"/>
      <c r="N88" s="3"/>
      <c r="O88" s="3"/>
      <c r="P88" s="3"/>
      <c r="Q88" s="3"/>
      <c r="R88" s="3"/>
      <c r="S88" s="3"/>
      <c r="T88" s="3"/>
    </row>
    <row r="89" spans="1:20" x14ac:dyDescent="0.25">
      <c r="A89" s="42" t="s">
        <v>343</v>
      </c>
      <c r="B89" s="3">
        <v>80</v>
      </c>
      <c r="C89" s="73" t="str">
        <f t="shared" si="0"/>
        <v>3B</v>
      </c>
      <c r="D89" s="3"/>
      <c r="E89" s="3"/>
      <c r="F89" s="3"/>
      <c r="G89" s="3"/>
      <c r="H89" s="3"/>
      <c r="I89" s="3"/>
      <c r="J89" s="3"/>
      <c r="L89" s="3"/>
      <c r="M89" s="3"/>
      <c r="N89" s="3"/>
      <c r="O89" s="3"/>
      <c r="P89" s="3"/>
      <c r="Q89" s="3"/>
      <c r="R89" s="3"/>
      <c r="S89" s="3"/>
      <c r="T89" s="3"/>
    </row>
    <row r="90" spans="1:20" x14ac:dyDescent="0.25">
      <c r="A90" s="42" t="s">
        <v>343</v>
      </c>
      <c r="B90" s="3">
        <v>80</v>
      </c>
      <c r="C90" s="73" t="str">
        <f t="shared" si="0"/>
        <v>3C</v>
      </c>
      <c r="D90" s="3"/>
      <c r="E90" s="3"/>
      <c r="F90" s="3"/>
      <c r="G90" s="3"/>
      <c r="H90" s="3"/>
      <c r="I90" s="3"/>
      <c r="J90" s="3"/>
      <c r="L90" s="3"/>
      <c r="M90" s="3"/>
      <c r="N90" s="3"/>
      <c r="O90" s="3"/>
      <c r="P90" s="3"/>
      <c r="Q90" s="3"/>
      <c r="R90" s="3"/>
      <c r="S90" s="3"/>
      <c r="T90" s="3"/>
    </row>
    <row r="91" spans="1:20" x14ac:dyDescent="0.25">
      <c r="A91" s="42" t="s">
        <v>343</v>
      </c>
      <c r="B91" s="3">
        <v>80</v>
      </c>
      <c r="C91" s="73" t="str">
        <f t="shared" si="0"/>
        <v>3D</v>
      </c>
      <c r="D91" s="3"/>
      <c r="E91" s="3"/>
      <c r="F91" s="3"/>
      <c r="G91" s="3"/>
      <c r="H91" s="3"/>
      <c r="I91" s="3"/>
      <c r="J91" s="3"/>
      <c r="L91" s="3"/>
      <c r="M91" s="3"/>
      <c r="N91" s="3"/>
      <c r="O91" s="3"/>
      <c r="P91" s="3"/>
      <c r="Q91" s="3"/>
      <c r="R91" s="3"/>
      <c r="S91" s="3"/>
      <c r="T91" s="3"/>
    </row>
    <row r="92" spans="1:20" x14ac:dyDescent="0.25">
      <c r="A92" s="42" t="s">
        <v>343</v>
      </c>
      <c r="B92" s="3">
        <v>80</v>
      </c>
      <c r="C92" s="73" t="str">
        <f t="shared" si="0"/>
        <v>3E</v>
      </c>
      <c r="D92" s="3"/>
      <c r="E92" s="3"/>
      <c r="F92" s="3"/>
      <c r="G92" s="3"/>
      <c r="H92" s="3"/>
      <c r="I92" s="3"/>
      <c r="J92" s="3"/>
      <c r="L92" s="3"/>
      <c r="M92" s="3"/>
      <c r="N92" s="3"/>
      <c r="O92" s="3"/>
      <c r="P92" s="3"/>
      <c r="Q92" s="3"/>
      <c r="R92" s="3"/>
      <c r="S92" s="3"/>
      <c r="T92" s="3"/>
    </row>
    <row r="93" spans="1:20" x14ac:dyDescent="0.25">
      <c r="A93" s="42" t="s">
        <v>343</v>
      </c>
      <c r="B93" s="3">
        <v>80</v>
      </c>
      <c r="C93" s="73" t="str">
        <f t="shared" si="0"/>
        <v>3F</v>
      </c>
      <c r="D93" s="3"/>
      <c r="E93" s="3"/>
      <c r="F93" s="3"/>
      <c r="G93" s="3"/>
      <c r="H93" s="3"/>
      <c r="I93" s="3"/>
      <c r="J93" s="3"/>
      <c r="L93" s="3"/>
      <c r="M93" s="3"/>
      <c r="N93" s="3"/>
      <c r="O93" s="3"/>
      <c r="P93" s="3"/>
      <c r="Q93" s="3"/>
      <c r="R93" s="3"/>
      <c r="S93" s="3"/>
      <c r="T93" s="3"/>
    </row>
    <row r="94" spans="1:20" x14ac:dyDescent="0.25">
      <c r="A94" s="42" t="s">
        <v>343</v>
      </c>
      <c r="B94" s="3">
        <v>80</v>
      </c>
      <c r="C94" s="73" t="str">
        <f t="shared" si="0"/>
        <v>40</v>
      </c>
      <c r="D94" s="3"/>
      <c r="E94" s="3"/>
      <c r="F94" s="3"/>
      <c r="G94" s="3"/>
      <c r="H94" s="3"/>
      <c r="I94" s="3"/>
      <c r="J94" s="3"/>
      <c r="L94" s="3"/>
      <c r="M94" s="3"/>
      <c r="N94" s="3"/>
      <c r="O94" s="3"/>
      <c r="P94" s="3"/>
      <c r="Q94" s="3"/>
      <c r="R94" s="3"/>
      <c r="S94" s="3"/>
      <c r="T94" s="3"/>
    </row>
    <row r="95" spans="1:20" x14ac:dyDescent="0.25">
      <c r="A95" s="42" t="s">
        <v>343</v>
      </c>
      <c r="B95" s="3">
        <v>80</v>
      </c>
      <c r="C95" s="73" t="str">
        <f t="shared" si="0"/>
        <v>41</v>
      </c>
      <c r="D95" s="3"/>
      <c r="E95" s="3"/>
      <c r="F95" s="3"/>
      <c r="G95" s="3"/>
      <c r="H95" s="3"/>
      <c r="I95" s="3"/>
      <c r="J95" s="3"/>
      <c r="L95" s="3"/>
      <c r="M95" s="3"/>
      <c r="N95" s="3"/>
      <c r="O95" s="3"/>
      <c r="P95" s="3"/>
      <c r="Q95" s="3"/>
      <c r="R95" s="3"/>
      <c r="S95" s="3"/>
      <c r="T95" s="3"/>
    </row>
    <row r="96" spans="1:20" x14ac:dyDescent="0.25">
      <c r="A96" s="50" t="s">
        <v>167</v>
      </c>
      <c r="B96" s="3">
        <v>80</v>
      </c>
      <c r="C96" s="73" t="str">
        <f t="shared" ref="C96:C125" si="1">DEC2HEX(HEX2DEC(C95)+1)</f>
        <v>42</v>
      </c>
      <c r="D96" s="3" t="s">
        <v>240</v>
      </c>
      <c r="E96" s="3"/>
      <c r="F96" s="3"/>
      <c r="G96" s="3"/>
      <c r="H96" s="3"/>
      <c r="I96" s="3"/>
      <c r="J96" s="3"/>
      <c r="L96" s="3"/>
      <c r="M96" s="3"/>
      <c r="N96" s="3"/>
      <c r="O96" s="3"/>
      <c r="P96" s="3"/>
      <c r="Q96" s="3"/>
      <c r="R96" s="3"/>
      <c r="S96" s="3"/>
      <c r="T96" s="3"/>
    </row>
    <row r="97" spans="1:20" x14ac:dyDescent="0.25">
      <c r="A97" s="37" t="s">
        <v>574</v>
      </c>
      <c r="B97" s="3">
        <v>80</v>
      </c>
      <c r="C97" s="73" t="str">
        <f t="shared" si="1"/>
        <v>43</v>
      </c>
      <c r="D97" s="3" t="s">
        <v>137</v>
      </c>
      <c r="E97" s="3"/>
      <c r="F97" s="3">
        <v>0</v>
      </c>
      <c r="G97" s="3">
        <v>7</v>
      </c>
      <c r="H97" s="3"/>
      <c r="I97" s="3" t="s">
        <v>93</v>
      </c>
      <c r="J97" s="3"/>
      <c r="K97" s="3" t="s">
        <v>581</v>
      </c>
      <c r="L97" s="3"/>
      <c r="M97" s="3"/>
      <c r="N97" s="3"/>
      <c r="O97" s="3"/>
      <c r="P97" s="3"/>
      <c r="Q97" s="3"/>
      <c r="R97" s="3"/>
      <c r="S97" s="3"/>
      <c r="T97" s="3"/>
    </row>
    <row r="98" spans="1:20" x14ac:dyDescent="0.25">
      <c r="A98" s="43" t="s">
        <v>568</v>
      </c>
      <c r="B98" s="3">
        <v>80</v>
      </c>
      <c r="C98" s="73" t="str">
        <f t="shared" si="1"/>
        <v>44</v>
      </c>
      <c r="D98" s="3"/>
      <c r="E98" s="3"/>
      <c r="F98" s="3"/>
      <c r="G98" s="3"/>
      <c r="H98" s="3"/>
      <c r="I98" s="3"/>
      <c r="J98" s="3" t="s">
        <v>479</v>
      </c>
      <c r="L98" s="3"/>
      <c r="M98" s="3"/>
      <c r="N98" s="3"/>
      <c r="O98" s="3"/>
      <c r="P98" s="3"/>
      <c r="Q98" s="3"/>
      <c r="R98" s="3"/>
      <c r="S98" s="3"/>
      <c r="T98" s="3"/>
    </row>
    <row r="99" spans="1:20" x14ac:dyDescent="0.25">
      <c r="A99" s="43" t="s">
        <v>531</v>
      </c>
      <c r="B99" s="3">
        <v>80</v>
      </c>
      <c r="C99" s="73" t="str">
        <f t="shared" si="1"/>
        <v>45</v>
      </c>
      <c r="D99" s="3"/>
      <c r="E99" s="3"/>
      <c r="F99" s="3"/>
      <c r="G99" s="3"/>
      <c r="H99" s="3"/>
      <c r="I99" s="3"/>
      <c r="J99" s="3" t="s">
        <v>479</v>
      </c>
      <c r="L99" s="3"/>
      <c r="M99" s="3"/>
      <c r="N99" s="3"/>
      <c r="O99" s="3"/>
      <c r="P99" s="3"/>
      <c r="Q99" s="3"/>
      <c r="R99" s="3"/>
      <c r="S99" s="3"/>
      <c r="T99" s="3"/>
    </row>
    <row r="100" spans="1:20" x14ac:dyDescent="0.25">
      <c r="A100" s="43" t="s">
        <v>532</v>
      </c>
      <c r="B100" s="3">
        <v>80</v>
      </c>
      <c r="C100" s="73" t="str">
        <f t="shared" si="1"/>
        <v>46</v>
      </c>
      <c r="D100" s="3"/>
      <c r="E100" s="3"/>
      <c r="F100" s="3"/>
      <c r="G100" s="3"/>
      <c r="H100" s="3"/>
      <c r="I100" s="3"/>
      <c r="J100" s="3" t="s">
        <v>479</v>
      </c>
      <c r="L100" s="3"/>
      <c r="M100" s="3"/>
      <c r="N100" s="3"/>
      <c r="O100" s="3"/>
      <c r="P100" s="3"/>
      <c r="Q100" s="3"/>
      <c r="R100" s="3"/>
      <c r="S100" s="3"/>
      <c r="T100" s="3"/>
    </row>
    <row r="101" spans="1:20" x14ac:dyDescent="0.25">
      <c r="A101" s="43" t="s">
        <v>533</v>
      </c>
      <c r="B101" s="3">
        <v>80</v>
      </c>
      <c r="C101" s="73" t="str">
        <f t="shared" si="1"/>
        <v>47</v>
      </c>
      <c r="D101" s="3"/>
      <c r="E101" s="3"/>
      <c r="F101" s="3"/>
      <c r="G101" s="3"/>
      <c r="H101" s="3"/>
      <c r="I101" s="3"/>
      <c r="J101" s="3" t="s">
        <v>479</v>
      </c>
      <c r="L101" s="3"/>
      <c r="M101" s="3"/>
      <c r="N101" s="3"/>
      <c r="O101" s="3"/>
      <c r="P101" s="3"/>
      <c r="Q101" s="3"/>
      <c r="R101" s="3"/>
      <c r="S101" s="3"/>
      <c r="T101" s="3"/>
    </row>
    <row r="102" spans="1:20" x14ac:dyDescent="0.25">
      <c r="A102" s="43" t="s">
        <v>534</v>
      </c>
      <c r="B102" s="3">
        <v>80</v>
      </c>
      <c r="C102" s="73" t="str">
        <f t="shared" si="1"/>
        <v>48</v>
      </c>
      <c r="D102" s="3"/>
      <c r="E102" s="3"/>
      <c r="F102" s="3"/>
      <c r="G102" s="3"/>
      <c r="H102" s="3"/>
      <c r="I102" s="3"/>
      <c r="J102" s="3" t="s">
        <v>479</v>
      </c>
      <c r="L102" s="3"/>
      <c r="M102" s="3"/>
      <c r="N102" s="3"/>
      <c r="O102" s="3"/>
      <c r="P102" s="3"/>
      <c r="Q102" s="3"/>
      <c r="R102" s="3"/>
      <c r="S102" s="3"/>
      <c r="T102" s="3"/>
    </row>
    <row r="103" spans="1:20" x14ac:dyDescent="0.25">
      <c r="A103" s="43" t="s">
        <v>535</v>
      </c>
      <c r="B103" s="3">
        <v>80</v>
      </c>
      <c r="C103" s="73" t="str">
        <f t="shared" si="1"/>
        <v>49</v>
      </c>
      <c r="D103" s="3"/>
      <c r="E103" s="3"/>
      <c r="F103" s="3"/>
      <c r="G103" s="3"/>
      <c r="H103" s="3"/>
      <c r="I103" s="3"/>
      <c r="J103" s="3" t="s">
        <v>479</v>
      </c>
      <c r="L103" s="3"/>
      <c r="M103" s="3"/>
      <c r="N103" s="3"/>
      <c r="O103" s="3"/>
      <c r="P103" s="3"/>
      <c r="Q103" s="3"/>
      <c r="R103" s="3"/>
      <c r="S103" s="3"/>
      <c r="T103" s="3"/>
    </row>
    <row r="104" spans="1:20" x14ac:dyDescent="0.25">
      <c r="A104" s="43" t="s">
        <v>536</v>
      </c>
      <c r="B104" s="3">
        <v>80</v>
      </c>
      <c r="C104" s="73" t="str">
        <f t="shared" si="1"/>
        <v>4A</v>
      </c>
      <c r="D104" s="3"/>
      <c r="E104" s="3"/>
      <c r="F104" s="3"/>
      <c r="G104" s="3"/>
      <c r="H104" s="3"/>
      <c r="I104" s="3"/>
      <c r="J104" s="3" t="s">
        <v>479</v>
      </c>
      <c r="L104" s="3"/>
      <c r="M104" s="3"/>
      <c r="N104" s="3"/>
      <c r="O104" s="3"/>
      <c r="P104" s="3"/>
      <c r="Q104" s="3"/>
      <c r="R104" s="3"/>
      <c r="S104" s="3"/>
      <c r="T104" s="3"/>
    </row>
    <row r="105" spans="1:20" x14ac:dyDescent="0.25">
      <c r="A105" s="43" t="s">
        <v>537</v>
      </c>
      <c r="B105" s="3">
        <v>80</v>
      </c>
      <c r="C105" s="73" t="str">
        <f t="shared" si="1"/>
        <v>4B</v>
      </c>
      <c r="D105" s="3"/>
      <c r="E105" s="3"/>
      <c r="F105" s="3"/>
      <c r="G105" s="3"/>
      <c r="H105" s="3"/>
      <c r="I105" s="3"/>
      <c r="J105" s="3" t="s">
        <v>479</v>
      </c>
      <c r="L105" s="3"/>
      <c r="M105" s="3"/>
      <c r="N105" s="3"/>
      <c r="O105" s="3"/>
      <c r="P105" s="3"/>
      <c r="Q105" s="3"/>
      <c r="R105" s="3"/>
      <c r="S105" s="3"/>
      <c r="T105" s="3"/>
    </row>
    <row r="106" spans="1:20" x14ac:dyDescent="0.25">
      <c r="A106" s="43" t="s">
        <v>538</v>
      </c>
      <c r="B106" s="3">
        <v>80</v>
      </c>
      <c r="C106" s="73" t="str">
        <f t="shared" si="1"/>
        <v>4C</v>
      </c>
      <c r="D106" s="3"/>
      <c r="E106" s="3"/>
      <c r="F106" s="3"/>
      <c r="G106" s="3"/>
      <c r="H106" s="3"/>
      <c r="I106" s="3"/>
      <c r="J106" s="3" t="s">
        <v>479</v>
      </c>
      <c r="L106" s="3"/>
      <c r="M106" s="3"/>
      <c r="N106" s="3"/>
      <c r="O106" s="3"/>
      <c r="P106" s="3"/>
      <c r="Q106" s="3"/>
      <c r="R106" s="3"/>
      <c r="S106" s="3"/>
      <c r="T106" s="3"/>
    </row>
    <row r="107" spans="1:20" x14ac:dyDescent="0.25">
      <c r="A107" s="54" t="s">
        <v>539</v>
      </c>
      <c r="B107" s="3">
        <v>80</v>
      </c>
      <c r="C107" s="73" t="str">
        <f t="shared" si="1"/>
        <v>4D</v>
      </c>
      <c r="D107" s="3"/>
      <c r="E107" s="3"/>
      <c r="F107" s="3"/>
      <c r="G107" s="3"/>
      <c r="H107" s="3"/>
      <c r="I107" s="3"/>
      <c r="J107" s="3" t="s">
        <v>479</v>
      </c>
      <c r="L107" s="3"/>
      <c r="M107" s="3"/>
      <c r="N107" s="3"/>
      <c r="O107" s="3"/>
      <c r="P107" s="3"/>
      <c r="Q107" s="3"/>
      <c r="R107" s="3"/>
      <c r="S107" s="3"/>
      <c r="T107" s="3"/>
    </row>
    <row r="108" spans="1:20" x14ac:dyDescent="0.25">
      <c r="A108" s="54" t="s">
        <v>540</v>
      </c>
      <c r="B108" s="3">
        <v>80</v>
      </c>
      <c r="C108" s="73" t="str">
        <f t="shared" si="1"/>
        <v>4E</v>
      </c>
      <c r="D108" s="3"/>
      <c r="E108" s="3"/>
      <c r="F108" s="3"/>
      <c r="G108" s="3"/>
      <c r="H108" s="3"/>
      <c r="I108" s="3"/>
      <c r="J108" s="3" t="s">
        <v>479</v>
      </c>
      <c r="L108" s="3"/>
      <c r="M108" s="3"/>
      <c r="N108" s="3"/>
      <c r="O108" s="3"/>
      <c r="P108" s="3"/>
      <c r="Q108" s="3"/>
      <c r="R108" s="3"/>
      <c r="S108" s="3"/>
      <c r="T108" s="3"/>
    </row>
    <row r="109" spans="1:20" x14ac:dyDescent="0.25">
      <c r="A109" s="42" t="s">
        <v>343</v>
      </c>
      <c r="B109" s="3">
        <v>80</v>
      </c>
      <c r="C109" s="73" t="str">
        <f t="shared" si="1"/>
        <v>4F</v>
      </c>
      <c r="D109" s="3" t="s">
        <v>140</v>
      </c>
      <c r="E109" s="3"/>
      <c r="F109" s="3">
        <v>0</v>
      </c>
      <c r="G109" s="3">
        <v>1</v>
      </c>
      <c r="H109" s="3"/>
      <c r="I109" s="3" t="s">
        <v>87</v>
      </c>
      <c r="J109" s="3"/>
      <c r="K109" s="3" t="s">
        <v>641</v>
      </c>
      <c r="L109" s="3"/>
      <c r="M109" s="3"/>
      <c r="N109" s="3"/>
      <c r="O109" s="3"/>
      <c r="P109" s="3"/>
      <c r="Q109" s="3"/>
      <c r="R109" s="3"/>
      <c r="S109" s="3"/>
      <c r="T109" s="3"/>
    </row>
    <row r="110" spans="1:20" x14ac:dyDescent="0.25">
      <c r="A110" s="54" t="s">
        <v>375</v>
      </c>
      <c r="B110" s="3">
        <v>80</v>
      </c>
      <c r="C110" s="73" t="str">
        <f t="shared" si="1"/>
        <v>50</v>
      </c>
      <c r="D110" s="3"/>
      <c r="E110" s="3"/>
      <c r="F110" s="3"/>
      <c r="G110" s="3"/>
      <c r="H110" s="3"/>
      <c r="I110" s="3"/>
      <c r="J110" s="3" t="s">
        <v>479</v>
      </c>
      <c r="L110" s="3"/>
      <c r="M110" s="3"/>
      <c r="N110" s="3"/>
      <c r="O110" s="3"/>
      <c r="P110" s="3"/>
      <c r="Q110" s="3"/>
      <c r="R110" s="3"/>
      <c r="S110" s="3"/>
      <c r="T110" s="3"/>
    </row>
    <row r="111" spans="1:20" x14ac:dyDescent="0.25">
      <c r="A111" s="54" t="s">
        <v>376</v>
      </c>
      <c r="B111" s="3">
        <v>80</v>
      </c>
      <c r="C111" s="73" t="str">
        <f t="shared" si="1"/>
        <v>51</v>
      </c>
      <c r="D111" s="3"/>
      <c r="E111" s="3"/>
      <c r="F111" s="3"/>
      <c r="G111" s="3"/>
      <c r="H111" s="3"/>
      <c r="I111" s="3"/>
      <c r="J111" s="3" t="s">
        <v>479</v>
      </c>
      <c r="L111" s="3"/>
      <c r="M111" s="3"/>
      <c r="N111" s="3"/>
      <c r="O111" s="3"/>
      <c r="P111" s="3"/>
      <c r="Q111" s="3"/>
      <c r="R111" s="3"/>
      <c r="S111" s="3"/>
      <c r="T111" s="3"/>
    </row>
    <row r="112" spans="1:20" x14ac:dyDescent="0.25">
      <c r="A112" s="54" t="s">
        <v>377</v>
      </c>
      <c r="B112" s="3">
        <v>80</v>
      </c>
      <c r="C112" s="73" t="str">
        <f t="shared" si="1"/>
        <v>52</v>
      </c>
      <c r="D112" s="3"/>
      <c r="E112" s="3"/>
      <c r="F112" s="3"/>
      <c r="G112" s="3"/>
      <c r="H112" s="3"/>
      <c r="I112" s="3"/>
      <c r="J112" s="3" t="s">
        <v>479</v>
      </c>
      <c r="L112" s="3"/>
      <c r="M112" s="3"/>
      <c r="N112" s="3"/>
      <c r="O112" s="3"/>
      <c r="P112" s="3"/>
      <c r="Q112" s="3"/>
      <c r="R112" s="3"/>
      <c r="S112" s="3"/>
      <c r="T112" s="3"/>
    </row>
    <row r="113" spans="1:20" x14ac:dyDescent="0.25">
      <c r="A113" s="54" t="s">
        <v>378</v>
      </c>
      <c r="B113" s="3">
        <v>80</v>
      </c>
      <c r="C113" s="73" t="str">
        <f t="shared" si="1"/>
        <v>53</v>
      </c>
      <c r="D113" s="3"/>
      <c r="E113" s="3"/>
      <c r="F113" s="3"/>
      <c r="G113" s="3"/>
      <c r="H113" s="3"/>
      <c r="I113" s="3"/>
      <c r="J113" s="3" t="s">
        <v>479</v>
      </c>
      <c r="L113" s="3"/>
      <c r="M113" s="3"/>
      <c r="N113" s="3"/>
      <c r="O113" s="3"/>
      <c r="P113" s="3"/>
      <c r="Q113" s="3"/>
      <c r="R113" s="3"/>
      <c r="S113" s="3"/>
      <c r="T113" s="3"/>
    </row>
    <row r="114" spans="1:20" x14ac:dyDescent="0.25">
      <c r="A114" s="42" t="s">
        <v>343</v>
      </c>
      <c r="B114" s="3">
        <v>80</v>
      </c>
      <c r="C114" s="73" t="str">
        <f t="shared" si="1"/>
        <v>54</v>
      </c>
      <c r="D114" s="3"/>
      <c r="E114" s="3"/>
      <c r="F114" s="3"/>
      <c r="G114" s="3"/>
      <c r="H114" s="3"/>
      <c r="I114" s="3"/>
      <c r="J114" s="3"/>
      <c r="L114" s="3"/>
      <c r="M114" s="3"/>
    </row>
    <row r="115" spans="1:20" x14ac:dyDescent="0.25">
      <c r="A115" s="37" t="s">
        <v>642</v>
      </c>
      <c r="B115" s="3">
        <v>80</v>
      </c>
      <c r="C115" s="73" t="str">
        <f t="shared" si="1"/>
        <v>55</v>
      </c>
      <c r="D115" s="3" t="s">
        <v>240</v>
      </c>
      <c r="E115" s="3"/>
      <c r="F115" s="3">
        <v>0</v>
      </c>
      <c r="G115" s="3">
        <v>32767</v>
      </c>
      <c r="H115" s="3" t="s">
        <v>633</v>
      </c>
      <c r="I115" s="3" t="s">
        <v>93</v>
      </c>
      <c r="J115" s="3"/>
      <c r="L115" s="3"/>
      <c r="M115" s="3"/>
      <c r="N115" s="3"/>
      <c r="O115" s="3"/>
      <c r="P115" s="3"/>
      <c r="Q115" s="3"/>
      <c r="R115" s="3"/>
      <c r="S115" s="3"/>
      <c r="T115" s="3"/>
    </row>
    <row r="116" spans="1:20" x14ac:dyDescent="0.25">
      <c r="A116" s="37" t="s">
        <v>643</v>
      </c>
      <c r="B116" s="3">
        <v>80</v>
      </c>
      <c r="C116" s="73" t="str">
        <f t="shared" si="1"/>
        <v>56</v>
      </c>
      <c r="D116" s="3" t="s">
        <v>240</v>
      </c>
      <c r="E116" s="3"/>
      <c r="F116" s="3">
        <v>0</v>
      </c>
      <c r="G116" s="3">
        <v>32767</v>
      </c>
      <c r="H116" s="3" t="s">
        <v>633</v>
      </c>
      <c r="I116" s="3" t="s">
        <v>93</v>
      </c>
      <c r="J116" s="3"/>
      <c r="L116" s="3"/>
      <c r="M116" s="3"/>
      <c r="N116" s="3"/>
      <c r="O116" s="3"/>
      <c r="P116" s="3"/>
      <c r="Q116" s="3"/>
      <c r="R116" s="3"/>
      <c r="S116" s="3"/>
      <c r="T116" s="3"/>
    </row>
    <row r="117" spans="1:20" x14ac:dyDescent="0.25">
      <c r="A117" s="15" t="s">
        <v>645</v>
      </c>
      <c r="B117" s="3">
        <v>80</v>
      </c>
      <c r="C117" s="73" t="str">
        <f t="shared" si="1"/>
        <v>57</v>
      </c>
      <c r="D117" s="3" t="s">
        <v>225</v>
      </c>
      <c r="E117" s="3"/>
      <c r="F117" s="3" t="s">
        <v>646</v>
      </c>
      <c r="G117" s="3" t="s">
        <v>647</v>
      </c>
      <c r="H117" s="3" t="s">
        <v>648</v>
      </c>
      <c r="I117" s="3" t="s">
        <v>87</v>
      </c>
      <c r="J117" s="3"/>
      <c r="K117" s="3" t="s">
        <v>649</v>
      </c>
      <c r="L117" s="3"/>
      <c r="M117" s="3"/>
      <c r="N117" s="3"/>
      <c r="O117" s="3"/>
      <c r="P117" s="3"/>
      <c r="Q117" s="3"/>
      <c r="R117" s="3"/>
      <c r="S117" s="3"/>
      <c r="T117" s="3"/>
    </row>
    <row r="118" spans="1:20" x14ac:dyDescent="0.25">
      <c r="A118" s="15" t="s">
        <v>659</v>
      </c>
      <c r="B118" s="3">
        <v>80</v>
      </c>
      <c r="C118" s="73" t="str">
        <f t="shared" si="1"/>
        <v>58</v>
      </c>
      <c r="D118" s="3" t="s">
        <v>225</v>
      </c>
      <c r="E118" s="3"/>
      <c r="F118" s="3" t="s">
        <v>646</v>
      </c>
      <c r="G118" s="3" t="s">
        <v>647</v>
      </c>
      <c r="H118" s="3" t="s">
        <v>648</v>
      </c>
      <c r="I118" s="3" t="s">
        <v>87</v>
      </c>
      <c r="J118" s="3"/>
      <c r="K118" s="3" t="s">
        <v>650</v>
      </c>
      <c r="L118" s="3"/>
      <c r="M118" s="3"/>
      <c r="N118" s="3"/>
      <c r="O118" s="3"/>
      <c r="P118" s="3"/>
      <c r="Q118" s="3"/>
      <c r="R118" s="3"/>
      <c r="S118" s="3"/>
      <c r="T118" s="3"/>
    </row>
    <row r="119" spans="1:20" x14ac:dyDescent="0.25">
      <c r="A119" s="42" t="s">
        <v>343</v>
      </c>
      <c r="B119" s="3">
        <v>80</v>
      </c>
      <c r="C119" s="73" t="str">
        <f t="shared" si="1"/>
        <v>59</v>
      </c>
      <c r="D119" s="3"/>
      <c r="E119" s="3"/>
      <c r="F119" s="3"/>
      <c r="G119" s="3"/>
      <c r="H119" s="3"/>
      <c r="I119" s="3"/>
      <c r="J119" s="3"/>
      <c r="L119" s="3"/>
    </row>
    <row r="120" spans="1:20" x14ac:dyDescent="0.25">
      <c r="A120" s="75" t="s">
        <v>667</v>
      </c>
      <c r="B120" s="3">
        <v>80</v>
      </c>
      <c r="C120" s="73" t="str">
        <f t="shared" si="1"/>
        <v>5A</v>
      </c>
      <c r="D120" s="3" t="s">
        <v>140</v>
      </c>
      <c r="E120" s="3"/>
      <c r="F120" s="3">
        <v>0</v>
      </c>
      <c r="G120" s="3">
        <v>1</v>
      </c>
      <c r="H120" s="3"/>
      <c r="I120" s="3" t="s">
        <v>87</v>
      </c>
      <c r="J120" s="3"/>
      <c r="K120" s="8" t="s">
        <v>673</v>
      </c>
    </row>
    <row r="121" spans="1:20" x14ac:dyDescent="0.25">
      <c r="A121" s="37" t="s">
        <v>668</v>
      </c>
      <c r="B121" s="3">
        <v>80</v>
      </c>
      <c r="C121" s="73" t="str">
        <f t="shared" si="1"/>
        <v>5B</v>
      </c>
      <c r="D121" s="3" t="s">
        <v>240</v>
      </c>
      <c r="E121" s="3"/>
      <c r="F121" s="3">
        <v>20</v>
      </c>
      <c r="G121" s="3">
        <v>600</v>
      </c>
      <c r="H121" s="3" t="s">
        <v>671</v>
      </c>
      <c r="I121" s="3" t="s">
        <v>87</v>
      </c>
      <c r="J121" s="3"/>
      <c r="K121" s="8"/>
    </row>
    <row r="122" spans="1:20" x14ac:dyDescent="0.25">
      <c r="A122" s="37" t="s">
        <v>784</v>
      </c>
      <c r="B122" s="3">
        <v>80</v>
      </c>
      <c r="C122" s="73" t="str">
        <f t="shared" si="1"/>
        <v>5C</v>
      </c>
      <c r="D122" s="3" t="s">
        <v>140</v>
      </c>
      <c r="E122" s="3"/>
      <c r="F122" s="3">
        <v>0</v>
      </c>
      <c r="G122" s="3">
        <v>1</v>
      </c>
      <c r="H122" s="3"/>
      <c r="I122" s="3" t="s">
        <v>93</v>
      </c>
      <c r="J122" s="3"/>
      <c r="K122" s="1"/>
    </row>
    <row r="123" spans="1:20" x14ac:dyDescent="0.25">
      <c r="A123" s="37" t="s">
        <v>785</v>
      </c>
      <c r="B123" s="3">
        <v>80</v>
      </c>
      <c r="C123" s="73" t="str">
        <f t="shared" si="1"/>
        <v>5D</v>
      </c>
      <c r="D123" s="3" t="s">
        <v>140</v>
      </c>
      <c r="E123" s="3"/>
      <c r="F123" s="3">
        <v>0</v>
      </c>
      <c r="G123" s="3">
        <v>1</v>
      </c>
      <c r="H123" s="3"/>
      <c r="I123" s="3" t="s">
        <v>93</v>
      </c>
    </row>
    <row r="124" spans="1:20" x14ac:dyDescent="0.25">
      <c r="A124" s="37" t="s">
        <v>787</v>
      </c>
      <c r="B124" s="3">
        <v>80</v>
      </c>
      <c r="C124" s="73" t="str">
        <f t="shared" si="1"/>
        <v>5E</v>
      </c>
      <c r="D124" s="3" t="s">
        <v>140</v>
      </c>
      <c r="E124" s="3"/>
      <c r="F124" s="3">
        <v>0</v>
      </c>
      <c r="G124" s="3">
        <v>1</v>
      </c>
      <c r="H124" s="3"/>
      <c r="I124" s="3" t="s">
        <v>93</v>
      </c>
    </row>
    <row r="125" spans="1:20" x14ac:dyDescent="0.25">
      <c r="A125" s="37" t="s">
        <v>786</v>
      </c>
      <c r="B125" s="3">
        <v>80</v>
      </c>
      <c r="C125" s="73" t="str">
        <f t="shared" si="1"/>
        <v>5F</v>
      </c>
      <c r="D125" s="3" t="s">
        <v>140</v>
      </c>
      <c r="E125" s="3"/>
      <c r="F125" s="3">
        <v>0</v>
      </c>
      <c r="G125" s="3">
        <v>1</v>
      </c>
      <c r="H125" s="3"/>
      <c r="I125" s="3" t="s">
        <v>93</v>
      </c>
    </row>
  </sheetData>
  <mergeCells count="4">
    <mergeCell ref="B3:C3"/>
    <mergeCell ref="K4:T4"/>
    <mergeCell ref="K29:T29"/>
    <mergeCell ref="A1:J1"/>
  </mergeCells>
  <pageMargins left="0.7" right="0.7" top="0.75" bottom="0.75" header="0.511811023622047" footer="0.511811023622047"/>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3370-2ACF-4B27-98EC-23BC578D5BD7}">
  <dimension ref="A1:AMM125"/>
  <sheetViews>
    <sheetView zoomScale="98" zoomScaleNormal="100" workbookViewId="0">
      <pane xSplit="1" ySplit="3" topLeftCell="B50" activePane="bottomRight" state="frozen"/>
      <selection pane="topRight" activeCell="B1" sqref="B1"/>
      <selection pane="bottomLeft" activeCell="A4" sqref="A4"/>
      <selection pane="bottomRight" activeCell="D63" sqref="D63"/>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789</v>
      </c>
      <c r="J2" s="3"/>
      <c r="K2" s="1"/>
    </row>
    <row r="3" spans="1:20" x14ac:dyDescent="0.25">
      <c r="A3" s="10" t="s">
        <v>790</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791</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180"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792</v>
      </c>
      <c r="L11" s="3"/>
      <c r="M11" s="3"/>
      <c r="N11" s="3"/>
      <c r="O11" s="3"/>
      <c r="P11" s="3"/>
      <c r="Q11" s="3"/>
      <c r="R11" s="3"/>
      <c r="S11" s="3"/>
      <c r="T11" s="3"/>
    </row>
    <row r="12" spans="1:20" customFormat="1" x14ac:dyDescent="0.25">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5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54"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row>
    <row r="15" spans="1:20" customFormat="1" x14ac:dyDescent="0.25">
      <c r="A15" s="54"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row>
    <row r="16" spans="1:20" customFormat="1" x14ac:dyDescent="0.25">
      <c r="A16" s="54"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row>
    <row r="17" spans="1:20" customFormat="1" x14ac:dyDescent="0.25">
      <c r="A17" s="54"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row>
    <row r="18" spans="1:20" customFormat="1" x14ac:dyDescent="0.25">
      <c r="A18" s="54"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54"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c r="L20" s="3"/>
      <c r="M20" s="3"/>
      <c r="N20" s="3"/>
      <c r="O20" s="3"/>
      <c r="P20" s="3"/>
      <c r="Q20" s="3"/>
      <c r="R20" s="3"/>
      <c r="S20" s="3"/>
      <c r="T20" s="3"/>
    </row>
    <row r="21" spans="1:20" customFormat="1" x14ac:dyDescent="0.25">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54"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793</v>
      </c>
      <c r="B29" s="53"/>
      <c r="C29" s="53"/>
      <c r="D29" s="53"/>
      <c r="E29" s="53"/>
      <c r="F29" s="53"/>
      <c r="G29" s="53"/>
      <c r="H29" s="53"/>
      <c r="I29" s="53"/>
      <c r="J29" s="53"/>
      <c r="K29" s="101"/>
      <c r="L29" s="102"/>
      <c r="M29" s="102"/>
      <c r="N29" s="102"/>
      <c r="O29" s="102"/>
      <c r="P29" s="102"/>
      <c r="Q29" s="102"/>
      <c r="R29" s="102"/>
      <c r="S29" s="102"/>
      <c r="T29" s="103"/>
    </row>
    <row r="30" spans="1:20" x14ac:dyDescent="0.25">
      <c r="A30" s="15" t="s">
        <v>794</v>
      </c>
      <c r="B30" s="3">
        <v>80</v>
      </c>
      <c r="C30" s="73" t="str">
        <f>DEC2HEX(0)</f>
        <v>0</v>
      </c>
      <c r="D30" s="3" t="s">
        <v>240</v>
      </c>
      <c r="E30" s="3"/>
      <c r="F30" s="3"/>
      <c r="G30" s="3"/>
      <c r="H30" s="3"/>
      <c r="I30" s="3" t="s">
        <v>100</v>
      </c>
      <c r="J30" s="3"/>
      <c r="K30" s="8" t="s">
        <v>795</v>
      </c>
      <c r="L30" s="3"/>
      <c r="M30" s="3"/>
      <c r="N30" s="3"/>
      <c r="O30" s="3"/>
      <c r="P30" s="3"/>
      <c r="Q30" s="3"/>
      <c r="R30" s="3"/>
      <c r="S30" s="3"/>
      <c r="T30" s="3"/>
    </row>
    <row r="31" spans="1:20" x14ac:dyDescent="0.25">
      <c r="A31" s="15" t="s">
        <v>796</v>
      </c>
      <c r="B31" s="3">
        <v>80</v>
      </c>
      <c r="C31" s="73" t="str">
        <f>DEC2HEX(HEX2DEC(C30)+1)</f>
        <v>1</v>
      </c>
      <c r="D31" s="3" t="s">
        <v>240</v>
      </c>
      <c r="E31" s="3"/>
      <c r="F31" s="3"/>
      <c r="G31" s="3"/>
      <c r="H31" s="3"/>
      <c r="I31" s="3" t="s">
        <v>100</v>
      </c>
      <c r="J31" s="3"/>
      <c r="K31" s="8" t="s">
        <v>797</v>
      </c>
      <c r="L31" s="3"/>
      <c r="M31" s="3"/>
      <c r="N31" s="3"/>
      <c r="O31" s="3"/>
      <c r="P31" s="3"/>
      <c r="Q31" s="3"/>
      <c r="R31" s="3"/>
      <c r="S31" s="3"/>
      <c r="T31" s="3"/>
    </row>
    <row r="32" spans="1:20" x14ac:dyDescent="0.25">
      <c r="A32" s="15" t="s">
        <v>798</v>
      </c>
      <c r="B32" s="3">
        <v>80</v>
      </c>
      <c r="C32" s="73" t="str">
        <f t="shared" ref="C32:C56" si="0">DEC2HEX(HEX2DEC(C31)+1)</f>
        <v>2</v>
      </c>
      <c r="D32" s="3" t="s">
        <v>240</v>
      </c>
      <c r="E32" s="3"/>
      <c r="F32" s="3"/>
      <c r="G32" s="3"/>
      <c r="H32" s="3"/>
      <c r="I32" s="3" t="s">
        <v>100</v>
      </c>
      <c r="J32" s="3"/>
      <c r="K32" s="8" t="s">
        <v>799</v>
      </c>
      <c r="L32" s="3"/>
      <c r="M32" s="3"/>
      <c r="N32" s="3"/>
      <c r="O32" s="3"/>
      <c r="P32" s="3"/>
      <c r="Q32" s="3"/>
      <c r="R32" s="3"/>
      <c r="S32" s="3"/>
      <c r="T32" s="3"/>
    </row>
    <row r="33" spans="1:1027" x14ac:dyDescent="0.25">
      <c r="A33" s="15" t="s">
        <v>800</v>
      </c>
      <c r="B33" s="3">
        <v>80</v>
      </c>
      <c r="C33" s="73" t="str">
        <f t="shared" si="0"/>
        <v>3</v>
      </c>
      <c r="D33" s="3" t="s">
        <v>240</v>
      </c>
      <c r="E33" s="3"/>
      <c r="F33" s="3"/>
      <c r="G33" s="3"/>
      <c r="H33" s="3"/>
      <c r="I33" s="3" t="s">
        <v>93</v>
      </c>
      <c r="J33" s="3"/>
      <c r="L33" s="3"/>
      <c r="M33" s="3"/>
      <c r="N33" s="3"/>
      <c r="O33" s="3"/>
      <c r="P33" s="3"/>
      <c r="Q33" s="3"/>
      <c r="R33" s="3"/>
      <c r="S33" s="3"/>
      <c r="T33" s="3"/>
    </row>
    <row r="34" spans="1:1027" x14ac:dyDescent="0.25">
      <c r="A34" s="15" t="s">
        <v>801</v>
      </c>
      <c r="B34" s="3">
        <v>80</v>
      </c>
      <c r="C34" s="73" t="str">
        <f t="shared" si="0"/>
        <v>4</v>
      </c>
      <c r="D34" s="3" t="s">
        <v>240</v>
      </c>
      <c r="E34" s="3"/>
      <c r="F34" s="3"/>
      <c r="G34" s="3"/>
      <c r="H34" s="3"/>
      <c r="I34" s="3" t="s">
        <v>100</v>
      </c>
      <c r="J34" s="3"/>
      <c r="L34" s="3"/>
    </row>
    <row r="35" spans="1:1027" x14ac:dyDescent="0.25">
      <c r="A35" s="15" t="s">
        <v>802</v>
      </c>
      <c r="B35" s="3">
        <v>80</v>
      </c>
      <c r="C35" s="73" t="str">
        <f t="shared" si="0"/>
        <v>5</v>
      </c>
      <c r="D35" s="3" t="s">
        <v>240</v>
      </c>
      <c r="E35" s="3"/>
      <c r="F35" s="3"/>
      <c r="G35" s="3"/>
      <c r="H35" s="3"/>
      <c r="I35" s="3" t="s">
        <v>100</v>
      </c>
      <c r="J35" s="3"/>
      <c r="L35" s="3"/>
    </row>
    <row r="36" spans="1:1027" x14ac:dyDescent="0.25">
      <c r="A36" s="15" t="s">
        <v>803</v>
      </c>
      <c r="B36" s="3">
        <v>80</v>
      </c>
      <c r="C36" s="73" t="str">
        <f t="shared" si="0"/>
        <v>6</v>
      </c>
      <c r="D36" s="3" t="s">
        <v>240</v>
      </c>
      <c r="E36" s="3"/>
      <c r="F36" s="3"/>
      <c r="G36" s="3"/>
      <c r="H36" s="3"/>
      <c r="I36" s="3" t="s">
        <v>100</v>
      </c>
      <c r="J36" s="3"/>
      <c r="L36" s="3"/>
      <c r="M36" s="3"/>
      <c r="N36" s="3"/>
      <c r="O36" s="3"/>
      <c r="P36" s="3"/>
      <c r="Q36" s="3"/>
      <c r="R36" s="3"/>
      <c r="S36" s="3"/>
      <c r="T36" s="3"/>
    </row>
    <row r="37" spans="1:1027" x14ac:dyDescent="0.25">
      <c r="A37" s="15" t="s">
        <v>806</v>
      </c>
      <c r="B37" s="3">
        <v>80</v>
      </c>
      <c r="C37" s="73" t="str">
        <f t="shared" si="0"/>
        <v>7</v>
      </c>
      <c r="D37" s="3" t="s">
        <v>137</v>
      </c>
      <c r="F37" s="3"/>
      <c r="G37" s="3"/>
      <c r="H37" s="3"/>
      <c r="I37" s="3" t="s">
        <v>87</v>
      </c>
      <c r="L37" s="3"/>
      <c r="M37" s="3"/>
      <c r="N37" s="3"/>
      <c r="O37" s="3"/>
      <c r="P37" s="3"/>
      <c r="Q37" s="3"/>
      <c r="R37" s="3"/>
      <c r="S37" s="3"/>
      <c r="T37" s="3"/>
    </row>
    <row r="38" spans="1:1027" x14ac:dyDescent="0.25">
      <c r="A38" s="15" t="s">
        <v>805</v>
      </c>
      <c r="B38" s="3">
        <v>80</v>
      </c>
      <c r="C38" s="73" t="str">
        <f t="shared" si="0"/>
        <v>8</v>
      </c>
      <c r="D38" s="3" t="s">
        <v>137</v>
      </c>
      <c r="F38" s="3"/>
      <c r="G38" s="3"/>
      <c r="H38" s="3"/>
      <c r="I38" s="3" t="s">
        <v>87</v>
      </c>
      <c r="L38" s="3"/>
      <c r="M38" s="3"/>
      <c r="N38" s="3"/>
      <c r="O38" s="3"/>
      <c r="P38" s="3"/>
      <c r="Q38" s="3"/>
      <c r="R38" s="3"/>
      <c r="S38" s="3"/>
      <c r="T38" s="3"/>
    </row>
    <row r="39" spans="1:1027" customFormat="1" x14ac:dyDescent="0.25">
      <c r="A39" s="15" t="s">
        <v>804</v>
      </c>
      <c r="B39" s="3">
        <v>80</v>
      </c>
      <c r="C39" s="73" t="str">
        <f t="shared" si="0"/>
        <v>9</v>
      </c>
      <c r="D39" s="3" t="s">
        <v>137</v>
      </c>
      <c r="E39" s="1"/>
      <c r="F39" s="3"/>
      <c r="G39" s="3"/>
      <c r="H39" s="3"/>
      <c r="I39" s="3" t="s">
        <v>87</v>
      </c>
      <c r="J39" s="1"/>
      <c r="K39" s="3"/>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5" t="s">
        <v>807</v>
      </c>
      <c r="B40" s="3">
        <v>80</v>
      </c>
      <c r="C40" s="73" t="str">
        <f t="shared" si="0"/>
        <v>A</v>
      </c>
      <c r="D40" s="3" t="s">
        <v>137</v>
      </c>
      <c r="F40" s="3"/>
      <c r="G40" s="3"/>
      <c r="H40" s="3"/>
      <c r="I40" s="3" t="s">
        <v>87</v>
      </c>
      <c r="L40" s="3"/>
      <c r="M40" s="3"/>
      <c r="N40" s="3"/>
      <c r="O40" s="3"/>
      <c r="P40" s="3"/>
      <c r="Q40" s="3"/>
      <c r="R40" s="3"/>
      <c r="S40" s="3"/>
      <c r="T40" s="3"/>
    </row>
    <row r="41" spans="1:1027" x14ac:dyDescent="0.25">
      <c r="A41" s="15" t="s">
        <v>808</v>
      </c>
      <c r="B41" s="3">
        <v>80</v>
      </c>
      <c r="C41" s="73" t="str">
        <f t="shared" si="0"/>
        <v>B</v>
      </c>
      <c r="D41" s="3" t="s">
        <v>137</v>
      </c>
      <c r="E41" s="3"/>
      <c r="F41" s="3"/>
      <c r="G41" s="3"/>
      <c r="H41" s="3"/>
      <c r="I41" s="3" t="s">
        <v>100</v>
      </c>
      <c r="J41" s="3"/>
      <c r="L41" s="3"/>
      <c r="M41" s="3"/>
      <c r="N41" s="3"/>
      <c r="O41" s="3"/>
      <c r="P41" s="3"/>
      <c r="Q41" s="3"/>
      <c r="R41" s="3"/>
      <c r="S41" s="3"/>
      <c r="T41" s="3"/>
    </row>
    <row r="42" spans="1:1027" x14ac:dyDescent="0.25">
      <c r="A42" s="15" t="s">
        <v>809</v>
      </c>
      <c r="B42" s="3">
        <v>80</v>
      </c>
      <c r="C42" s="73" t="str">
        <f t="shared" si="0"/>
        <v>C</v>
      </c>
      <c r="D42" s="3" t="s">
        <v>137</v>
      </c>
      <c r="E42" s="3"/>
      <c r="F42" s="3"/>
      <c r="G42" s="3"/>
      <c r="H42" s="3"/>
      <c r="I42" s="3" t="s">
        <v>100</v>
      </c>
      <c r="J42" s="3"/>
      <c r="L42" s="3"/>
      <c r="M42" s="3"/>
      <c r="N42" s="3"/>
      <c r="O42" s="3"/>
      <c r="P42" s="3"/>
      <c r="Q42" s="3"/>
      <c r="R42" s="3"/>
      <c r="S42" s="3"/>
      <c r="T42" s="3"/>
    </row>
    <row r="43" spans="1:1027" x14ac:dyDescent="0.25">
      <c r="A43" s="15" t="s">
        <v>810</v>
      </c>
      <c r="B43" s="3">
        <v>80</v>
      </c>
      <c r="C43" s="73" t="str">
        <f t="shared" si="0"/>
        <v>D</v>
      </c>
      <c r="D43" s="3" t="s">
        <v>131</v>
      </c>
      <c r="E43" s="3"/>
      <c r="F43" s="3"/>
      <c r="G43" s="3"/>
      <c r="H43" s="3"/>
      <c r="I43" s="3" t="s">
        <v>93</v>
      </c>
      <c r="J43" s="3"/>
      <c r="L43" s="3"/>
      <c r="M43" s="3"/>
      <c r="N43" s="3"/>
      <c r="O43" s="3"/>
      <c r="P43" s="3"/>
      <c r="Q43" s="3"/>
      <c r="R43" s="3"/>
      <c r="S43" s="3"/>
      <c r="T43" s="3"/>
    </row>
    <row r="44" spans="1:1027" x14ac:dyDescent="0.25">
      <c r="A44" s="37" t="s">
        <v>811</v>
      </c>
      <c r="B44" s="3">
        <v>80</v>
      </c>
      <c r="C44" s="73" t="str">
        <f t="shared" si="0"/>
        <v>E</v>
      </c>
      <c r="D44" s="3" t="s">
        <v>131</v>
      </c>
      <c r="E44" s="3"/>
      <c r="F44" s="3"/>
      <c r="G44" s="3"/>
      <c r="H44" s="3"/>
      <c r="I44" s="3" t="s">
        <v>100</v>
      </c>
      <c r="J44" s="3"/>
      <c r="L44" s="3"/>
      <c r="M44" s="3"/>
      <c r="N44" s="3"/>
      <c r="O44" s="3"/>
      <c r="P44" s="3"/>
      <c r="Q44" s="3"/>
      <c r="R44" s="3"/>
      <c r="S44" s="3"/>
      <c r="T44" s="3"/>
    </row>
    <row r="45" spans="1:1027" x14ac:dyDescent="0.25">
      <c r="A45" s="37" t="s">
        <v>812</v>
      </c>
      <c r="B45" s="3">
        <v>80</v>
      </c>
      <c r="C45" s="73" t="str">
        <f t="shared" si="0"/>
        <v>F</v>
      </c>
      <c r="D45" s="3" t="s">
        <v>131</v>
      </c>
      <c r="E45" s="3"/>
      <c r="F45" s="3"/>
      <c r="G45" s="3"/>
      <c r="H45" s="3"/>
      <c r="I45" s="3" t="s">
        <v>100</v>
      </c>
      <c r="J45" s="3"/>
      <c r="L45" s="3"/>
      <c r="M45" s="3"/>
      <c r="N45" s="3"/>
      <c r="O45" s="3"/>
      <c r="P45" s="3"/>
      <c r="Q45" s="3"/>
      <c r="R45" s="3"/>
      <c r="S45" s="3"/>
      <c r="T45" s="3"/>
    </row>
    <row r="46" spans="1:1027" x14ac:dyDescent="0.25">
      <c r="A46" s="37" t="s">
        <v>813</v>
      </c>
      <c r="B46" s="3">
        <v>80</v>
      </c>
      <c r="C46" s="73" t="str">
        <f t="shared" si="0"/>
        <v>10</v>
      </c>
      <c r="D46" s="3" t="s">
        <v>131</v>
      </c>
      <c r="E46" s="3"/>
      <c r="F46" s="3"/>
      <c r="G46" s="3"/>
      <c r="H46" s="3"/>
      <c r="I46" s="3" t="s">
        <v>93</v>
      </c>
      <c r="J46" s="3"/>
      <c r="L46" s="3"/>
      <c r="M46" s="3"/>
      <c r="N46" s="3"/>
      <c r="O46" s="3"/>
      <c r="P46" s="3"/>
      <c r="Q46" s="3"/>
      <c r="R46" s="3"/>
      <c r="S46" s="3"/>
      <c r="T46" s="3"/>
    </row>
    <row r="47" spans="1:1027" x14ac:dyDescent="0.25">
      <c r="A47" s="37" t="s">
        <v>814</v>
      </c>
      <c r="B47" s="3">
        <v>80</v>
      </c>
      <c r="C47" s="73" t="str">
        <f t="shared" si="0"/>
        <v>11</v>
      </c>
      <c r="D47" s="3" t="s">
        <v>131</v>
      </c>
      <c r="E47" s="3"/>
      <c r="F47" s="3"/>
      <c r="G47" s="3"/>
      <c r="H47" s="3"/>
      <c r="I47" s="3" t="s">
        <v>93</v>
      </c>
      <c r="J47" s="3"/>
      <c r="L47" s="3"/>
      <c r="M47" s="3"/>
      <c r="N47" s="3"/>
      <c r="O47" s="3"/>
      <c r="P47" s="3"/>
      <c r="Q47" s="3"/>
      <c r="R47" s="3"/>
      <c r="S47" s="3"/>
      <c r="T47" s="3"/>
    </row>
    <row r="48" spans="1:1027" x14ac:dyDescent="0.25">
      <c r="A48" s="37" t="s">
        <v>815</v>
      </c>
      <c r="B48" s="3">
        <v>80</v>
      </c>
      <c r="C48" s="73" t="str">
        <f t="shared" si="0"/>
        <v>12</v>
      </c>
      <c r="D48" s="3" t="s">
        <v>131</v>
      </c>
      <c r="E48" s="3"/>
      <c r="F48" s="3"/>
      <c r="G48" s="3"/>
      <c r="H48" s="3"/>
      <c r="I48" s="3" t="s">
        <v>93</v>
      </c>
      <c r="J48" s="3"/>
      <c r="L48" s="3"/>
      <c r="M48" s="3"/>
      <c r="N48" s="3"/>
      <c r="O48" s="3"/>
      <c r="P48" s="3"/>
      <c r="Q48" s="3"/>
      <c r="R48" s="3"/>
      <c r="S48" s="3"/>
      <c r="T48" s="3"/>
    </row>
    <row r="49" spans="1:20" x14ac:dyDescent="0.25">
      <c r="A49" s="37" t="s">
        <v>816</v>
      </c>
      <c r="B49" s="3">
        <v>80</v>
      </c>
      <c r="C49" s="73" t="str">
        <f t="shared" si="0"/>
        <v>13</v>
      </c>
      <c r="D49" s="3" t="s">
        <v>131</v>
      </c>
      <c r="E49" s="3"/>
      <c r="F49" s="3"/>
      <c r="G49" s="3"/>
      <c r="H49" s="3"/>
      <c r="I49" s="3" t="s">
        <v>93</v>
      </c>
      <c r="J49" s="3"/>
      <c r="L49" s="3"/>
      <c r="M49" s="3"/>
      <c r="N49" s="3"/>
      <c r="O49" s="3"/>
      <c r="P49" s="3"/>
      <c r="Q49" s="3"/>
      <c r="R49" s="3"/>
      <c r="S49" s="3"/>
      <c r="T49" s="3"/>
    </row>
    <row r="50" spans="1:20" x14ac:dyDescent="0.25">
      <c r="A50" s="37" t="s">
        <v>817</v>
      </c>
      <c r="B50" s="3">
        <v>80</v>
      </c>
      <c r="C50" s="73" t="str">
        <f t="shared" si="0"/>
        <v>14</v>
      </c>
      <c r="D50" s="3" t="s">
        <v>818</v>
      </c>
      <c r="E50" s="3"/>
      <c r="F50" s="3"/>
      <c r="G50" s="3"/>
      <c r="H50" s="3"/>
      <c r="I50" s="3" t="s">
        <v>100</v>
      </c>
      <c r="J50" s="3"/>
      <c r="L50" s="3"/>
      <c r="M50" s="3"/>
      <c r="N50" s="3"/>
      <c r="O50" s="3"/>
      <c r="P50" s="3"/>
      <c r="Q50" s="3"/>
      <c r="R50" s="3"/>
      <c r="S50" s="3"/>
      <c r="T50" s="3"/>
    </row>
    <row r="51" spans="1:20" x14ac:dyDescent="0.25">
      <c r="A51" s="37" t="s">
        <v>819</v>
      </c>
      <c r="B51" s="3">
        <v>80</v>
      </c>
      <c r="C51" s="73" t="str">
        <f t="shared" si="0"/>
        <v>15</v>
      </c>
      <c r="D51" s="3" t="s">
        <v>820</v>
      </c>
      <c r="E51" s="3"/>
      <c r="F51" s="3"/>
      <c r="G51" s="3"/>
      <c r="H51" s="3"/>
      <c r="I51" s="3" t="s">
        <v>100</v>
      </c>
      <c r="J51" s="3"/>
      <c r="L51" s="3"/>
      <c r="M51" s="3"/>
      <c r="N51" s="3"/>
      <c r="O51" s="3"/>
      <c r="P51" s="3"/>
      <c r="Q51" s="3"/>
      <c r="R51" s="3"/>
      <c r="S51" s="3"/>
      <c r="T51" s="3"/>
    </row>
    <row r="52" spans="1:20" x14ac:dyDescent="0.25">
      <c r="A52" s="37" t="s">
        <v>821</v>
      </c>
      <c r="B52" s="3">
        <v>80</v>
      </c>
      <c r="C52" s="73" t="str">
        <f t="shared" si="0"/>
        <v>16</v>
      </c>
      <c r="D52" s="3" t="s">
        <v>240</v>
      </c>
      <c r="E52" s="3"/>
      <c r="F52" s="3"/>
      <c r="G52" s="3"/>
      <c r="H52" s="3"/>
      <c r="I52" s="3" t="s">
        <v>93</v>
      </c>
      <c r="J52" s="3"/>
      <c r="L52" s="3"/>
      <c r="M52" s="3"/>
      <c r="N52" s="3"/>
      <c r="O52" s="3"/>
      <c r="P52" s="3"/>
      <c r="Q52" s="3"/>
      <c r="R52" s="3"/>
      <c r="S52" s="3"/>
      <c r="T52" s="3"/>
    </row>
    <row r="53" spans="1:20" x14ac:dyDescent="0.25">
      <c r="A53" s="37" t="s">
        <v>822</v>
      </c>
      <c r="B53" s="3">
        <v>80</v>
      </c>
      <c r="C53" s="73" t="str">
        <f t="shared" si="0"/>
        <v>17</v>
      </c>
      <c r="D53" s="3" t="s">
        <v>240</v>
      </c>
      <c r="E53" s="3"/>
      <c r="F53" s="3"/>
      <c r="G53" s="3"/>
      <c r="H53" s="3"/>
      <c r="I53" s="3" t="s">
        <v>93</v>
      </c>
      <c r="J53" s="3"/>
      <c r="L53" s="3"/>
      <c r="M53" s="3"/>
      <c r="N53" s="3"/>
      <c r="O53" s="3"/>
      <c r="P53" s="3"/>
      <c r="Q53" s="3"/>
      <c r="R53" s="3"/>
      <c r="S53" s="3"/>
      <c r="T53" s="3"/>
    </row>
    <row r="54" spans="1:20" x14ac:dyDescent="0.25">
      <c r="A54" s="78" t="s">
        <v>823</v>
      </c>
      <c r="B54" s="3">
        <v>80</v>
      </c>
      <c r="C54" s="73" t="str">
        <f t="shared" si="0"/>
        <v>18</v>
      </c>
      <c r="D54" s="3" t="s">
        <v>240</v>
      </c>
      <c r="E54" s="3"/>
      <c r="F54" s="3"/>
      <c r="G54" s="3"/>
      <c r="H54" s="3"/>
      <c r="I54" s="3" t="s">
        <v>93</v>
      </c>
      <c r="J54" s="3"/>
      <c r="L54" s="3"/>
      <c r="M54" s="3"/>
      <c r="N54" s="3"/>
      <c r="O54" s="3"/>
      <c r="P54" s="3"/>
      <c r="Q54" s="3"/>
      <c r="R54" s="3"/>
      <c r="S54" s="3"/>
      <c r="T54" s="3"/>
    </row>
    <row r="55" spans="1:20" x14ac:dyDescent="0.25">
      <c r="A55" s="78" t="s">
        <v>824</v>
      </c>
      <c r="B55" s="3">
        <v>80</v>
      </c>
      <c r="C55" s="73" t="str">
        <f t="shared" si="0"/>
        <v>19</v>
      </c>
      <c r="D55" s="3" t="s">
        <v>240</v>
      </c>
      <c r="E55" s="3"/>
      <c r="F55" s="3"/>
      <c r="G55" s="3"/>
      <c r="H55" s="3"/>
      <c r="I55" s="3" t="s">
        <v>93</v>
      </c>
      <c r="J55" s="3"/>
      <c r="L55" s="3"/>
      <c r="M55" s="3"/>
      <c r="N55" s="3"/>
      <c r="O55" s="3"/>
      <c r="P55" s="3"/>
      <c r="Q55" s="3"/>
      <c r="R55" s="3"/>
      <c r="S55" s="3"/>
      <c r="T55" s="3"/>
    </row>
    <row r="56" spans="1:20" x14ac:dyDescent="0.25">
      <c r="A56" s="37" t="s">
        <v>825</v>
      </c>
      <c r="B56" s="3">
        <v>80</v>
      </c>
      <c r="C56" s="73" t="str">
        <f t="shared" si="0"/>
        <v>1A</v>
      </c>
      <c r="D56" s="3" t="s">
        <v>240</v>
      </c>
      <c r="E56" s="3"/>
      <c r="F56" s="3"/>
      <c r="G56" s="3"/>
      <c r="H56" s="3"/>
      <c r="I56" s="3" t="s">
        <v>93</v>
      </c>
      <c r="J56" s="3"/>
      <c r="L56" s="3"/>
      <c r="M56" s="3"/>
      <c r="N56" s="3"/>
      <c r="O56" s="3"/>
      <c r="P56" s="3"/>
      <c r="Q56" s="3"/>
      <c r="R56" s="3"/>
      <c r="S56" s="3"/>
      <c r="T56" s="3"/>
    </row>
    <row r="57" spans="1:20" x14ac:dyDescent="0.25">
      <c r="A57" s="37" t="s">
        <v>826</v>
      </c>
      <c r="B57" s="3">
        <v>80</v>
      </c>
      <c r="C57" s="73" t="s">
        <v>488</v>
      </c>
      <c r="D57" s="3" t="s">
        <v>137</v>
      </c>
      <c r="E57" s="3"/>
      <c r="F57" s="3"/>
      <c r="G57" s="3"/>
      <c r="H57" s="3"/>
      <c r="I57" s="3" t="s">
        <v>827</v>
      </c>
      <c r="J57" s="3"/>
      <c r="L57" s="3"/>
      <c r="M57" s="3"/>
      <c r="N57" s="3"/>
      <c r="O57" s="3"/>
      <c r="P57" s="3"/>
      <c r="Q57" s="3"/>
      <c r="R57" s="3"/>
      <c r="S57" s="3"/>
      <c r="T57" s="3"/>
    </row>
    <row r="58" spans="1:20" ht="90" x14ac:dyDescent="0.25">
      <c r="A58" s="37" t="s">
        <v>932</v>
      </c>
      <c r="B58" s="3">
        <v>80</v>
      </c>
      <c r="C58" s="73" t="s">
        <v>489</v>
      </c>
      <c r="D58" s="3" t="s">
        <v>131</v>
      </c>
      <c r="E58" s="3"/>
      <c r="F58" s="3"/>
      <c r="G58" s="3"/>
      <c r="H58" s="3"/>
      <c r="I58" s="3" t="s">
        <v>100</v>
      </c>
      <c r="J58" s="3"/>
      <c r="K58" s="8" t="s">
        <v>933</v>
      </c>
      <c r="L58" s="3"/>
      <c r="M58" s="3"/>
      <c r="N58" s="3"/>
      <c r="O58" s="3"/>
      <c r="P58" s="3"/>
      <c r="Q58" s="3"/>
      <c r="R58" s="3"/>
      <c r="S58" s="3"/>
      <c r="T58" s="3"/>
    </row>
    <row r="59" spans="1:20" x14ac:dyDescent="0.25">
      <c r="B59" s="3"/>
      <c r="C59" s="73"/>
      <c r="D59" s="3"/>
      <c r="E59" s="3"/>
      <c r="F59" s="3"/>
      <c r="G59" s="3"/>
      <c r="H59" s="3"/>
      <c r="I59" s="3"/>
      <c r="J59" s="3"/>
      <c r="L59" s="3"/>
      <c r="M59" s="3"/>
      <c r="N59" s="3"/>
      <c r="O59" s="3"/>
      <c r="P59" s="3"/>
      <c r="Q59" s="3"/>
      <c r="R59" s="3"/>
      <c r="S59" s="3"/>
      <c r="T59" s="3"/>
    </row>
    <row r="60" spans="1:20" x14ac:dyDescent="0.25">
      <c r="B60" s="3"/>
      <c r="C60" s="73"/>
      <c r="D60" s="3"/>
      <c r="E60" s="3"/>
      <c r="F60" s="3"/>
      <c r="G60" s="3"/>
      <c r="H60" s="3"/>
      <c r="I60" s="3"/>
      <c r="J60" s="3"/>
      <c r="L60" s="3"/>
      <c r="M60" s="3"/>
      <c r="N60" s="3"/>
      <c r="O60" s="3"/>
      <c r="P60" s="3"/>
      <c r="Q60" s="3"/>
      <c r="R60" s="3"/>
      <c r="S60" s="3"/>
      <c r="T60" s="3"/>
    </row>
    <row r="61" spans="1:20" x14ac:dyDescent="0.25">
      <c r="B61" s="3"/>
      <c r="C61" s="73"/>
      <c r="D61" s="3"/>
      <c r="E61" s="3"/>
      <c r="F61" s="3"/>
      <c r="G61" s="3"/>
      <c r="H61" s="3"/>
      <c r="I61" s="3"/>
      <c r="J61" s="3"/>
      <c r="L61" s="3"/>
      <c r="M61" s="3"/>
      <c r="N61" s="3"/>
      <c r="O61" s="3"/>
      <c r="P61" s="3"/>
      <c r="Q61" s="3"/>
      <c r="R61" s="3"/>
      <c r="S61" s="3"/>
      <c r="T61" s="3"/>
    </row>
    <row r="62" spans="1:20" x14ac:dyDescent="0.25">
      <c r="B62" s="3"/>
      <c r="C62" s="73"/>
      <c r="D62" s="3"/>
      <c r="E62" s="3"/>
      <c r="F62" s="3"/>
      <c r="G62" s="3"/>
      <c r="H62" s="3"/>
      <c r="I62" s="3"/>
      <c r="J62" s="3"/>
      <c r="L62" s="3"/>
      <c r="M62" s="3"/>
      <c r="N62" s="3"/>
      <c r="O62" s="3"/>
      <c r="P62" s="3"/>
      <c r="Q62" s="3"/>
      <c r="R62" s="3"/>
      <c r="S62" s="3"/>
      <c r="T62" s="3"/>
    </row>
    <row r="63" spans="1:20" x14ac:dyDescent="0.25">
      <c r="B63" s="3"/>
      <c r="C63" s="73"/>
      <c r="D63" s="3"/>
      <c r="E63" s="3"/>
      <c r="F63" s="3"/>
      <c r="G63" s="3"/>
      <c r="H63" s="3"/>
      <c r="I63" s="3"/>
      <c r="J63" s="3"/>
      <c r="L63" s="3"/>
      <c r="M63" s="3"/>
      <c r="N63" s="3"/>
      <c r="O63" s="3"/>
      <c r="P63" s="3"/>
      <c r="Q63" s="3"/>
      <c r="R63" s="3"/>
      <c r="S63" s="3"/>
      <c r="T63" s="3"/>
    </row>
    <row r="64" spans="1:20" x14ac:dyDescent="0.25">
      <c r="B64" s="3"/>
      <c r="C64" s="73"/>
      <c r="D64" s="3"/>
      <c r="E64" s="3"/>
      <c r="F64" s="3"/>
      <c r="G64" s="3"/>
      <c r="H64" s="3"/>
      <c r="I64" s="3"/>
      <c r="J64" s="3"/>
      <c r="L64" s="3"/>
      <c r="M64" s="3"/>
      <c r="N64" s="3"/>
      <c r="O64" s="3"/>
      <c r="P64" s="3"/>
      <c r="Q64" s="3"/>
      <c r="R64" s="3"/>
      <c r="S64" s="3"/>
      <c r="T64" s="3"/>
    </row>
    <row r="65" spans="2:20" x14ac:dyDescent="0.25">
      <c r="B65" s="3"/>
      <c r="C65" s="73"/>
      <c r="D65" s="3"/>
      <c r="E65" s="3"/>
      <c r="F65" s="3"/>
      <c r="G65" s="3"/>
      <c r="H65" s="3"/>
      <c r="I65" s="3"/>
      <c r="J65" s="3"/>
      <c r="L65" s="3"/>
      <c r="M65" s="3"/>
      <c r="N65" s="3"/>
      <c r="O65" s="3"/>
      <c r="P65" s="3"/>
      <c r="Q65" s="3"/>
      <c r="R65" s="3"/>
      <c r="S65" s="3"/>
      <c r="T65" s="3"/>
    </row>
    <row r="66" spans="2:20" x14ac:dyDescent="0.25">
      <c r="B66" s="3"/>
      <c r="C66" s="73"/>
      <c r="D66" s="3"/>
      <c r="E66" s="3"/>
      <c r="F66" s="3"/>
      <c r="G66" s="3"/>
      <c r="H66" s="3"/>
      <c r="I66" s="3"/>
      <c r="J66" s="3"/>
      <c r="L66" s="3"/>
      <c r="M66" s="3"/>
      <c r="N66" s="3"/>
      <c r="O66" s="3"/>
      <c r="P66" s="3"/>
      <c r="Q66" s="3"/>
      <c r="R66" s="3"/>
      <c r="S66" s="3"/>
      <c r="T66" s="3"/>
    </row>
    <row r="67" spans="2:20" x14ac:dyDescent="0.25">
      <c r="B67" s="3"/>
      <c r="C67" s="73"/>
      <c r="D67" s="3"/>
      <c r="E67" s="3"/>
      <c r="F67" s="3"/>
      <c r="G67" s="3"/>
      <c r="H67" s="3"/>
      <c r="I67" s="3"/>
      <c r="J67" s="3"/>
      <c r="L67" s="3"/>
      <c r="M67" s="3"/>
      <c r="N67" s="3"/>
      <c r="O67" s="3"/>
      <c r="P67" s="3"/>
      <c r="Q67" s="3"/>
      <c r="R67" s="3"/>
      <c r="S67" s="3"/>
      <c r="T67" s="3"/>
    </row>
    <row r="68" spans="2:20" x14ac:dyDescent="0.25">
      <c r="B68" s="3"/>
      <c r="C68" s="73"/>
      <c r="D68" s="3"/>
      <c r="E68" s="3"/>
      <c r="F68" s="3"/>
      <c r="G68" s="3"/>
      <c r="H68" s="3"/>
      <c r="I68" s="3"/>
      <c r="J68" s="3"/>
      <c r="L68" s="3"/>
      <c r="M68" s="3"/>
      <c r="N68" s="3"/>
      <c r="O68" s="3"/>
      <c r="P68" s="3"/>
      <c r="Q68" s="3"/>
      <c r="R68" s="3"/>
      <c r="S68" s="3"/>
      <c r="T68" s="3"/>
    </row>
    <row r="69" spans="2:20" x14ac:dyDescent="0.25">
      <c r="B69" s="3"/>
      <c r="C69" s="73"/>
      <c r="D69" s="3"/>
      <c r="E69" s="3"/>
      <c r="F69" s="3"/>
      <c r="G69" s="3"/>
      <c r="H69" s="3"/>
      <c r="I69" s="3"/>
      <c r="J69" s="3"/>
      <c r="L69" s="3"/>
      <c r="M69" s="3"/>
      <c r="N69" s="3"/>
      <c r="O69" s="3"/>
      <c r="P69" s="3"/>
      <c r="Q69" s="3"/>
      <c r="R69" s="3"/>
      <c r="S69" s="3"/>
      <c r="T69" s="3"/>
    </row>
    <row r="70" spans="2:20" x14ac:dyDescent="0.25">
      <c r="B70" s="3"/>
      <c r="C70" s="73"/>
      <c r="D70" s="3"/>
      <c r="E70" s="3"/>
      <c r="F70" s="3"/>
      <c r="G70" s="3"/>
      <c r="H70" s="3"/>
      <c r="I70" s="3"/>
      <c r="J70" s="3"/>
      <c r="L70" s="3"/>
      <c r="M70" s="3"/>
      <c r="N70" s="3"/>
      <c r="O70" s="3"/>
      <c r="P70" s="3"/>
      <c r="Q70" s="3"/>
      <c r="R70" s="3"/>
      <c r="S70" s="3"/>
      <c r="T70" s="3"/>
    </row>
    <row r="71" spans="2:20" x14ac:dyDescent="0.25">
      <c r="B71" s="3"/>
      <c r="C71" s="73"/>
      <c r="D71" s="3"/>
      <c r="E71" s="3"/>
      <c r="F71" s="3"/>
      <c r="G71" s="3"/>
      <c r="H71" s="3"/>
      <c r="I71" s="3"/>
      <c r="J71" s="3"/>
      <c r="L71" s="3"/>
      <c r="M71" s="3"/>
      <c r="N71" s="3"/>
      <c r="O71" s="3"/>
      <c r="P71" s="3"/>
      <c r="Q71" s="3"/>
      <c r="R71" s="3"/>
      <c r="S71" s="3"/>
      <c r="T71" s="3"/>
    </row>
    <row r="72" spans="2:20" x14ac:dyDescent="0.25">
      <c r="B72" s="3"/>
      <c r="C72" s="73"/>
      <c r="D72" s="3"/>
      <c r="E72" s="3"/>
      <c r="F72" s="3"/>
      <c r="G72" s="3"/>
      <c r="H72" s="3"/>
      <c r="I72" s="3"/>
      <c r="J72" s="3"/>
      <c r="L72" s="3"/>
      <c r="M72" s="3"/>
      <c r="N72" s="3"/>
      <c r="O72" s="3"/>
      <c r="P72" s="3"/>
      <c r="Q72" s="3"/>
      <c r="R72" s="3"/>
      <c r="S72" s="3"/>
      <c r="T72" s="3"/>
    </row>
    <row r="73" spans="2:20" x14ac:dyDescent="0.25">
      <c r="B73" s="3"/>
      <c r="C73" s="73"/>
      <c r="D73" s="3"/>
      <c r="E73" s="3"/>
      <c r="F73" s="3"/>
      <c r="G73" s="3"/>
      <c r="H73" s="3"/>
      <c r="I73" s="3"/>
      <c r="J73" s="3"/>
      <c r="L73" s="3"/>
      <c r="M73" s="3"/>
      <c r="N73" s="3"/>
      <c r="O73" s="3"/>
      <c r="P73" s="3"/>
      <c r="Q73" s="3"/>
      <c r="R73" s="3"/>
      <c r="S73" s="3"/>
      <c r="T73" s="3"/>
    </row>
    <row r="74" spans="2:20" x14ac:dyDescent="0.25">
      <c r="B74" s="3"/>
      <c r="C74" s="73"/>
      <c r="D74" s="3"/>
      <c r="E74" s="3"/>
      <c r="F74" s="3"/>
      <c r="G74" s="3"/>
      <c r="H74" s="3"/>
      <c r="I74" s="3"/>
      <c r="J74" s="3"/>
      <c r="L74" s="3"/>
      <c r="M74" s="3"/>
      <c r="N74" s="3"/>
      <c r="O74" s="3"/>
      <c r="P74" s="3"/>
      <c r="Q74" s="3"/>
      <c r="R74" s="3"/>
      <c r="S74" s="3"/>
      <c r="T74" s="3"/>
    </row>
    <row r="75" spans="2:20" x14ac:dyDescent="0.25">
      <c r="B75" s="3"/>
      <c r="C75" s="73"/>
      <c r="D75" s="3"/>
      <c r="E75" s="3"/>
      <c r="F75" s="3"/>
      <c r="G75" s="3"/>
      <c r="H75" s="3"/>
      <c r="I75" s="3"/>
      <c r="J75" s="3"/>
      <c r="L75" s="3"/>
      <c r="M75" s="3"/>
      <c r="N75" s="3"/>
      <c r="O75" s="3"/>
      <c r="P75" s="3"/>
      <c r="Q75" s="3"/>
      <c r="R75" s="3"/>
      <c r="S75" s="3"/>
      <c r="T75" s="3"/>
    </row>
    <row r="76" spans="2:20" x14ac:dyDescent="0.25">
      <c r="B76" s="3"/>
      <c r="C76" s="73"/>
      <c r="D76" s="3"/>
      <c r="E76" s="3"/>
      <c r="F76" s="3"/>
      <c r="G76" s="3"/>
      <c r="H76" s="3"/>
      <c r="I76" s="3"/>
      <c r="J76" s="3"/>
      <c r="L76" s="3"/>
      <c r="M76" s="3"/>
      <c r="N76" s="3"/>
      <c r="O76" s="3"/>
      <c r="P76" s="3"/>
      <c r="Q76" s="3"/>
      <c r="R76" s="3"/>
      <c r="S76" s="3"/>
      <c r="T76" s="3"/>
    </row>
    <row r="77" spans="2:20" x14ac:dyDescent="0.25">
      <c r="B77" s="3"/>
      <c r="C77" s="73"/>
      <c r="D77" s="3"/>
      <c r="E77" s="3"/>
      <c r="F77" s="3"/>
      <c r="G77" s="3"/>
      <c r="H77" s="3"/>
      <c r="I77" s="3"/>
      <c r="J77" s="3"/>
      <c r="L77" s="3"/>
      <c r="M77" s="3"/>
      <c r="N77" s="3"/>
      <c r="O77" s="3"/>
      <c r="P77" s="3"/>
      <c r="Q77" s="3"/>
      <c r="R77" s="3"/>
      <c r="S77" s="3"/>
      <c r="T77" s="3"/>
    </row>
    <row r="78" spans="2:20" x14ac:dyDescent="0.25">
      <c r="B78" s="3"/>
      <c r="C78" s="73"/>
      <c r="D78" s="3"/>
      <c r="E78" s="3"/>
      <c r="F78" s="3"/>
      <c r="G78" s="3"/>
      <c r="H78" s="3"/>
      <c r="I78" s="3"/>
      <c r="J78" s="3"/>
      <c r="L78" s="3"/>
      <c r="M78" s="3"/>
      <c r="N78" s="3"/>
      <c r="O78" s="3"/>
      <c r="P78" s="3"/>
      <c r="Q78" s="3"/>
      <c r="R78" s="3"/>
      <c r="S78" s="3"/>
      <c r="T78" s="3"/>
    </row>
    <row r="79" spans="2:20" x14ac:dyDescent="0.25">
      <c r="B79" s="3"/>
      <c r="C79" s="73"/>
      <c r="D79" s="3"/>
      <c r="E79" s="3"/>
      <c r="F79" s="3"/>
      <c r="G79" s="3"/>
      <c r="H79" s="3"/>
      <c r="I79" s="3"/>
      <c r="J79" s="3"/>
      <c r="L79" s="3"/>
      <c r="M79" s="3"/>
      <c r="N79" s="3"/>
      <c r="O79" s="3"/>
      <c r="P79" s="3"/>
      <c r="Q79" s="3"/>
      <c r="R79" s="3"/>
      <c r="S79" s="3"/>
      <c r="T79" s="3"/>
    </row>
    <row r="80" spans="2:20" x14ac:dyDescent="0.25">
      <c r="B80" s="3"/>
      <c r="C80" s="73"/>
      <c r="D80" s="3"/>
      <c r="E80" s="3"/>
      <c r="F80" s="3"/>
      <c r="G80" s="3"/>
      <c r="H80" s="3"/>
      <c r="I80" s="3"/>
      <c r="J80" s="3"/>
      <c r="L80" s="3"/>
      <c r="M80" s="3"/>
      <c r="N80" s="3"/>
      <c r="O80" s="3"/>
      <c r="P80" s="3"/>
      <c r="Q80" s="3"/>
      <c r="R80" s="3"/>
      <c r="S80" s="3"/>
      <c r="T80" s="3"/>
    </row>
    <row r="81" spans="2:20" x14ac:dyDescent="0.25">
      <c r="B81" s="3"/>
      <c r="C81" s="73"/>
      <c r="D81" s="3"/>
      <c r="E81" s="3"/>
      <c r="F81" s="3"/>
      <c r="G81" s="3"/>
      <c r="H81" s="3"/>
      <c r="I81" s="3"/>
      <c r="J81" s="3"/>
      <c r="L81" s="3"/>
      <c r="M81" s="3"/>
      <c r="N81" s="3"/>
      <c r="O81" s="3"/>
      <c r="P81" s="3"/>
      <c r="Q81" s="3"/>
      <c r="R81" s="3"/>
      <c r="S81" s="3"/>
      <c r="T81" s="3"/>
    </row>
    <row r="82" spans="2:20" x14ac:dyDescent="0.25">
      <c r="B82" s="3"/>
      <c r="C82" s="73"/>
      <c r="D82" s="3"/>
      <c r="E82" s="3"/>
      <c r="F82" s="3"/>
      <c r="G82" s="3"/>
      <c r="H82" s="3"/>
      <c r="I82" s="3"/>
      <c r="J82" s="3"/>
      <c r="L82" s="3"/>
      <c r="M82" s="3"/>
      <c r="N82" s="3"/>
      <c r="O82" s="3"/>
      <c r="P82" s="3"/>
      <c r="Q82" s="3"/>
      <c r="R82" s="3"/>
      <c r="S82" s="3"/>
      <c r="T82" s="3"/>
    </row>
    <row r="83" spans="2:20" x14ac:dyDescent="0.25">
      <c r="B83" s="3"/>
      <c r="C83" s="73"/>
      <c r="D83" s="3"/>
      <c r="E83" s="3"/>
      <c r="F83" s="3"/>
      <c r="G83" s="3"/>
      <c r="H83" s="3"/>
      <c r="I83" s="3"/>
      <c r="J83" s="3"/>
      <c r="L83" s="3"/>
      <c r="M83" s="3"/>
      <c r="N83" s="3"/>
      <c r="O83" s="3"/>
      <c r="P83" s="3"/>
      <c r="Q83" s="3"/>
      <c r="R83" s="3"/>
      <c r="S83" s="3"/>
      <c r="T83" s="3"/>
    </row>
    <row r="84" spans="2:20" x14ac:dyDescent="0.25">
      <c r="B84" s="3"/>
      <c r="C84" s="73"/>
      <c r="D84" s="3"/>
      <c r="E84" s="3"/>
      <c r="F84" s="3"/>
      <c r="G84" s="3"/>
      <c r="H84" s="3"/>
      <c r="I84" s="3"/>
      <c r="J84" s="3"/>
      <c r="L84" s="3"/>
      <c r="M84" s="3"/>
      <c r="N84" s="3"/>
      <c r="O84" s="3"/>
      <c r="P84" s="3"/>
      <c r="Q84" s="3"/>
      <c r="R84" s="3"/>
      <c r="S84" s="3"/>
      <c r="T84" s="3"/>
    </row>
    <row r="85" spans="2:20" x14ac:dyDescent="0.25">
      <c r="B85" s="3"/>
      <c r="C85" s="73"/>
      <c r="D85" s="3"/>
      <c r="E85" s="3"/>
      <c r="F85" s="3"/>
      <c r="G85" s="3"/>
      <c r="H85" s="3"/>
      <c r="I85" s="3"/>
      <c r="J85" s="3"/>
      <c r="L85" s="3"/>
      <c r="M85" s="3"/>
      <c r="N85" s="3"/>
      <c r="O85" s="3"/>
      <c r="P85" s="3"/>
      <c r="Q85" s="3"/>
      <c r="R85" s="3"/>
      <c r="S85" s="3"/>
      <c r="T85" s="3"/>
    </row>
    <row r="86" spans="2:20" x14ac:dyDescent="0.25">
      <c r="B86" s="3"/>
      <c r="C86" s="73"/>
      <c r="D86" s="3"/>
      <c r="E86" s="3"/>
      <c r="F86" s="3"/>
      <c r="G86" s="3"/>
      <c r="H86" s="3"/>
      <c r="I86" s="3"/>
      <c r="J86" s="3"/>
      <c r="L86" s="3"/>
      <c r="M86" s="3"/>
      <c r="N86" s="3"/>
      <c r="O86" s="3"/>
      <c r="P86" s="3"/>
      <c r="Q86" s="3"/>
      <c r="R86" s="3"/>
      <c r="S86" s="3"/>
      <c r="T86" s="3"/>
    </row>
    <row r="87" spans="2:20" x14ac:dyDescent="0.25">
      <c r="B87" s="3"/>
      <c r="C87" s="73"/>
      <c r="D87" s="3"/>
      <c r="E87" s="3"/>
      <c r="F87" s="3"/>
      <c r="G87" s="3"/>
      <c r="H87" s="3"/>
      <c r="I87" s="3"/>
      <c r="J87" s="3"/>
      <c r="L87" s="3"/>
      <c r="M87" s="3"/>
      <c r="N87" s="3"/>
      <c r="O87" s="3"/>
      <c r="P87" s="3"/>
      <c r="Q87" s="3"/>
      <c r="R87" s="3"/>
      <c r="S87" s="3"/>
      <c r="T87" s="3"/>
    </row>
    <row r="88" spans="2:20" x14ac:dyDescent="0.25">
      <c r="B88" s="3"/>
      <c r="C88" s="73"/>
      <c r="D88" s="3"/>
      <c r="E88" s="3"/>
      <c r="F88" s="3"/>
      <c r="G88" s="3"/>
      <c r="H88" s="3"/>
      <c r="I88" s="3"/>
      <c r="J88" s="3"/>
      <c r="L88" s="3"/>
      <c r="M88" s="3"/>
      <c r="N88" s="3"/>
      <c r="O88" s="3"/>
      <c r="P88" s="3"/>
      <c r="Q88" s="3"/>
      <c r="R88" s="3"/>
      <c r="S88" s="3"/>
      <c r="T88" s="3"/>
    </row>
    <row r="89" spans="2:20" x14ac:dyDescent="0.25">
      <c r="B89" s="3"/>
      <c r="C89" s="73"/>
      <c r="D89" s="3"/>
      <c r="E89" s="3"/>
      <c r="F89" s="3"/>
      <c r="G89" s="3"/>
      <c r="H89" s="3"/>
      <c r="I89" s="3"/>
      <c r="J89" s="3"/>
      <c r="L89" s="3"/>
      <c r="M89" s="3"/>
      <c r="N89" s="3"/>
      <c r="O89" s="3"/>
      <c r="P89" s="3"/>
      <c r="Q89" s="3"/>
      <c r="R89" s="3"/>
      <c r="S89" s="3"/>
      <c r="T89" s="3"/>
    </row>
    <row r="90" spans="2:20" x14ac:dyDescent="0.25">
      <c r="B90" s="3"/>
      <c r="C90" s="73"/>
      <c r="D90" s="3"/>
      <c r="E90" s="3"/>
      <c r="F90" s="3"/>
      <c r="G90" s="3"/>
      <c r="H90" s="3"/>
      <c r="I90" s="3"/>
      <c r="J90" s="3"/>
      <c r="L90" s="3"/>
      <c r="M90" s="3"/>
      <c r="N90" s="3"/>
      <c r="O90" s="3"/>
      <c r="P90" s="3"/>
      <c r="Q90" s="3"/>
      <c r="R90" s="3"/>
      <c r="S90" s="3"/>
      <c r="T90" s="3"/>
    </row>
    <row r="91" spans="2:20" x14ac:dyDescent="0.25">
      <c r="B91" s="3"/>
      <c r="C91" s="73"/>
      <c r="D91" s="3"/>
      <c r="E91" s="3"/>
      <c r="F91" s="3"/>
      <c r="G91" s="3"/>
      <c r="H91" s="3"/>
      <c r="I91" s="3"/>
      <c r="J91" s="3"/>
      <c r="L91" s="3"/>
      <c r="M91" s="3"/>
      <c r="N91" s="3"/>
      <c r="O91" s="3"/>
      <c r="P91" s="3"/>
      <c r="Q91" s="3"/>
      <c r="R91" s="3"/>
      <c r="S91" s="3"/>
      <c r="T91" s="3"/>
    </row>
    <row r="92" spans="2:20" x14ac:dyDescent="0.25">
      <c r="B92" s="3"/>
      <c r="C92" s="73"/>
      <c r="D92" s="3"/>
      <c r="E92" s="3"/>
      <c r="F92" s="3"/>
      <c r="G92" s="3"/>
      <c r="H92" s="3"/>
      <c r="I92" s="3"/>
      <c r="J92" s="3"/>
      <c r="L92" s="3"/>
      <c r="M92" s="3"/>
      <c r="N92" s="3"/>
      <c r="O92" s="3"/>
      <c r="P92" s="3"/>
      <c r="Q92" s="3"/>
      <c r="R92" s="3"/>
      <c r="S92" s="3"/>
      <c r="T92" s="3"/>
    </row>
    <row r="93" spans="2:20" x14ac:dyDescent="0.25">
      <c r="B93" s="3"/>
      <c r="C93" s="73"/>
      <c r="D93" s="3"/>
      <c r="E93" s="3"/>
      <c r="F93" s="3"/>
      <c r="G93" s="3"/>
      <c r="H93" s="3"/>
      <c r="I93" s="3"/>
      <c r="J93" s="3"/>
      <c r="L93" s="3"/>
      <c r="M93" s="3"/>
      <c r="N93" s="3"/>
      <c r="O93" s="3"/>
      <c r="P93" s="3"/>
      <c r="Q93" s="3"/>
      <c r="R93" s="3"/>
      <c r="S93" s="3"/>
      <c r="T93" s="3"/>
    </row>
    <row r="94" spans="2:20" x14ac:dyDescent="0.25">
      <c r="B94" s="3"/>
      <c r="C94" s="73"/>
      <c r="D94" s="3"/>
      <c r="E94" s="3"/>
      <c r="F94" s="3"/>
      <c r="G94" s="3"/>
      <c r="H94" s="3"/>
      <c r="I94" s="3"/>
      <c r="J94" s="3"/>
      <c r="L94" s="3"/>
      <c r="M94" s="3"/>
      <c r="N94" s="3"/>
      <c r="O94" s="3"/>
      <c r="P94" s="3"/>
      <c r="Q94" s="3"/>
      <c r="R94" s="3"/>
      <c r="S94" s="3"/>
      <c r="T94" s="3"/>
    </row>
    <row r="95" spans="2:20" x14ac:dyDescent="0.25">
      <c r="B95" s="3"/>
      <c r="C95" s="73"/>
      <c r="D95" s="3"/>
      <c r="E95" s="3"/>
      <c r="F95" s="3"/>
      <c r="G95" s="3"/>
      <c r="H95" s="3"/>
      <c r="I95" s="3"/>
      <c r="J95" s="3"/>
      <c r="L95" s="3"/>
      <c r="M95" s="3"/>
      <c r="N95" s="3"/>
      <c r="O95" s="3"/>
      <c r="P95" s="3"/>
      <c r="Q95" s="3"/>
      <c r="R95" s="3"/>
      <c r="S95" s="3"/>
      <c r="T95" s="3"/>
    </row>
    <row r="96" spans="2:20" x14ac:dyDescent="0.25">
      <c r="B96" s="3"/>
      <c r="C96" s="73"/>
      <c r="D96" s="3"/>
      <c r="E96" s="3"/>
      <c r="F96" s="3"/>
      <c r="G96" s="3"/>
      <c r="H96" s="3"/>
      <c r="I96" s="3"/>
      <c r="J96" s="3"/>
      <c r="L96" s="3"/>
      <c r="M96" s="3"/>
      <c r="N96" s="3"/>
      <c r="O96" s="3"/>
      <c r="P96" s="3"/>
      <c r="Q96" s="3"/>
      <c r="R96" s="3"/>
      <c r="S96" s="3"/>
      <c r="T96" s="3"/>
    </row>
    <row r="97" spans="2:20" x14ac:dyDescent="0.25">
      <c r="B97" s="3"/>
      <c r="C97" s="73"/>
      <c r="D97" s="3"/>
      <c r="E97" s="3"/>
      <c r="F97" s="3"/>
      <c r="G97" s="3"/>
      <c r="H97" s="3"/>
      <c r="I97" s="3"/>
      <c r="J97" s="3"/>
      <c r="L97" s="3"/>
      <c r="M97" s="3"/>
      <c r="N97" s="3"/>
      <c r="O97" s="3"/>
      <c r="P97" s="3"/>
      <c r="Q97" s="3"/>
      <c r="R97" s="3"/>
      <c r="S97" s="3"/>
      <c r="T97" s="3"/>
    </row>
    <row r="98" spans="2:20" x14ac:dyDescent="0.25">
      <c r="B98" s="3"/>
      <c r="C98" s="73"/>
      <c r="D98" s="3"/>
      <c r="E98" s="3"/>
      <c r="F98" s="3"/>
      <c r="G98" s="3"/>
      <c r="H98" s="3"/>
      <c r="I98" s="3"/>
      <c r="J98" s="3"/>
      <c r="L98" s="3"/>
      <c r="M98" s="3"/>
      <c r="N98" s="3"/>
      <c r="O98" s="3"/>
      <c r="P98" s="3"/>
      <c r="Q98" s="3"/>
      <c r="R98" s="3"/>
      <c r="S98" s="3"/>
      <c r="T98" s="3"/>
    </row>
    <row r="99" spans="2:20" x14ac:dyDescent="0.25">
      <c r="B99" s="3"/>
      <c r="C99" s="73"/>
      <c r="D99" s="3"/>
      <c r="E99" s="3"/>
      <c r="F99" s="3"/>
      <c r="G99" s="3"/>
      <c r="H99" s="3"/>
      <c r="I99" s="3"/>
      <c r="J99" s="3"/>
      <c r="L99" s="3"/>
      <c r="M99" s="3"/>
      <c r="N99" s="3"/>
      <c r="O99" s="3"/>
      <c r="P99" s="3"/>
      <c r="Q99" s="3"/>
      <c r="R99" s="3"/>
      <c r="S99" s="3"/>
      <c r="T99" s="3"/>
    </row>
    <row r="100" spans="2:20" x14ac:dyDescent="0.25">
      <c r="B100" s="3"/>
      <c r="C100" s="73"/>
      <c r="D100" s="3"/>
      <c r="E100" s="3"/>
      <c r="F100" s="3"/>
      <c r="G100" s="3"/>
      <c r="H100" s="3"/>
      <c r="I100" s="3"/>
      <c r="J100" s="3"/>
      <c r="L100" s="3"/>
      <c r="M100" s="3"/>
      <c r="N100" s="3"/>
      <c r="O100" s="3"/>
      <c r="P100" s="3"/>
      <c r="Q100" s="3"/>
      <c r="R100" s="3"/>
      <c r="S100" s="3"/>
      <c r="T100" s="3"/>
    </row>
    <row r="101" spans="2:20" x14ac:dyDescent="0.25">
      <c r="B101" s="3"/>
      <c r="C101" s="73"/>
      <c r="D101" s="3"/>
      <c r="E101" s="3"/>
      <c r="F101" s="3"/>
      <c r="G101" s="3"/>
      <c r="H101" s="3"/>
      <c r="I101" s="3"/>
      <c r="J101" s="3"/>
      <c r="L101" s="3"/>
      <c r="M101" s="3"/>
      <c r="N101" s="3"/>
      <c r="O101" s="3"/>
      <c r="P101" s="3"/>
      <c r="Q101" s="3"/>
      <c r="R101" s="3"/>
      <c r="S101" s="3"/>
      <c r="T101" s="3"/>
    </row>
    <row r="102" spans="2:20" x14ac:dyDescent="0.25">
      <c r="B102" s="3"/>
      <c r="C102" s="73"/>
      <c r="D102" s="3"/>
      <c r="E102" s="3"/>
      <c r="F102" s="3"/>
      <c r="G102" s="3"/>
      <c r="H102" s="3"/>
      <c r="I102" s="3"/>
      <c r="J102" s="3"/>
      <c r="L102" s="3"/>
      <c r="M102" s="3"/>
      <c r="N102" s="3"/>
      <c r="O102" s="3"/>
      <c r="P102" s="3"/>
      <c r="Q102" s="3"/>
      <c r="R102" s="3"/>
      <c r="S102" s="3"/>
      <c r="T102" s="3"/>
    </row>
    <row r="103" spans="2:20" x14ac:dyDescent="0.25">
      <c r="B103" s="3"/>
      <c r="C103" s="73"/>
      <c r="D103" s="3"/>
      <c r="E103" s="3"/>
      <c r="F103" s="3"/>
      <c r="G103" s="3"/>
      <c r="H103" s="3"/>
      <c r="I103" s="3"/>
      <c r="J103" s="3"/>
      <c r="L103" s="3"/>
      <c r="M103" s="3"/>
      <c r="N103" s="3"/>
      <c r="O103" s="3"/>
      <c r="P103" s="3"/>
      <c r="Q103" s="3"/>
      <c r="R103" s="3"/>
      <c r="S103" s="3"/>
      <c r="T103" s="3"/>
    </row>
    <row r="104" spans="2:20" x14ac:dyDescent="0.25">
      <c r="B104" s="3"/>
      <c r="C104" s="73"/>
      <c r="D104" s="3"/>
      <c r="E104" s="3"/>
      <c r="F104" s="3"/>
      <c r="G104" s="3"/>
      <c r="H104" s="3"/>
      <c r="I104" s="3"/>
      <c r="J104" s="3"/>
      <c r="L104" s="3"/>
      <c r="M104" s="3"/>
      <c r="N104" s="3"/>
      <c r="O104" s="3"/>
      <c r="P104" s="3"/>
      <c r="Q104" s="3"/>
      <c r="R104" s="3"/>
      <c r="S104" s="3"/>
      <c r="T104" s="3"/>
    </row>
    <row r="105" spans="2:20" x14ac:dyDescent="0.25">
      <c r="B105" s="3"/>
      <c r="C105" s="73"/>
      <c r="D105" s="3"/>
      <c r="E105" s="3"/>
      <c r="F105" s="3"/>
      <c r="G105" s="3"/>
      <c r="H105" s="3"/>
      <c r="I105" s="3"/>
      <c r="J105" s="3"/>
      <c r="L105" s="3"/>
      <c r="M105" s="3"/>
      <c r="N105" s="3"/>
      <c r="O105" s="3"/>
      <c r="P105" s="3"/>
      <c r="Q105" s="3"/>
      <c r="R105" s="3"/>
      <c r="S105" s="3"/>
      <c r="T105" s="3"/>
    </row>
    <row r="106" spans="2:20" x14ac:dyDescent="0.25">
      <c r="B106" s="3"/>
      <c r="C106" s="73"/>
      <c r="D106" s="3"/>
      <c r="E106" s="3"/>
      <c r="F106" s="3"/>
      <c r="G106" s="3"/>
      <c r="H106" s="3"/>
      <c r="I106" s="3"/>
      <c r="J106" s="3"/>
      <c r="L106" s="3"/>
      <c r="M106" s="3"/>
      <c r="N106" s="3"/>
      <c r="O106" s="3"/>
      <c r="P106" s="3"/>
      <c r="Q106" s="3"/>
      <c r="R106" s="3"/>
      <c r="S106" s="3"/>
      <c r="T106" s="3"/>
    </row>
    <row r="107" spans="2:20" x14ac:dyDescent="0.25">
      <c r="B107" s="3"/>
      <c r="C107" s="73"/>
      <c r="D107" s="3"/>
      <c r="E107" s="3"/>
      <c r="F107" s="3"/>
      <c r="G107" s="3"/>
      <c r="H107" s="3"/>
      <c r="I107" s="3"/>
      <c r="J107" s="3"/>
      <c r="L107" s="3"/>
      <c r="M107" s="3"/>
      <c r="N107" s="3"/>
      <c r="O107" s="3"/>
      <c r="P107" s="3"/>
      <c r="Q107" s="3"/>
      <c r="R107" s="3"/>
      <c r="S107" s="3"/>
      <c r="T107" s="3"/>
    </row>
    <row r="108" spans="2:20" x14ac:dyDescent="0.25">
      <c r="B108" s="3"/>
      <c r="C108" s="73"/>
      <c r="D108" s="3"/>
      <c r="E108" s="3"/>
      <c r="F108" s="3"/>
      <c r="G108" s="3"/>
      <c r="H108" s="3"/>
      <c r="I108" s="3"/>
      <c r="J108" s="3"/>
      <c r="L108" s="3"/>
      <c r="M108" s="3"/>
      <c r="N108" s="3"/>
      <c r="O108" s="3"/>
      <c r="P108" s="3"/>
      <c r="Q108" s="3"/>
      <c r="R108" s="3"/>
      <c r="S108" s="3"/>
      <c r="T108" s="3"/>
    </row>
    <row r="109" spans="2:20" x14ac:dyDescent="0.25">
      <c r="B109" s="3"/>
      <c r="C109" s="73"/>
      <c r="D109" s="3"/>
      <c r="E109" s="3"/>
      <c r="F109" s="3"/>
      <c r="G109" s="3"/>
      <c r="H109" s="3"/>
      <c r="I109" s="3"/>
      <c r="J109" s="3"/>
      <c r="L109" s="3"/>
      <c r="M109" s="3"/>
      <c r="N109" s="3"/>
      <c r="O109" s="3"/>
      <c r="P109" s="3"/>
      <c r="Q109" s="3"/>
      <c r="R109" s="3"/>
      <c r="S109" s="3"/>
      <c r="T109" s="3"/>
    </row>
    <row r="110" spans="2:20" x14ac:dyDescent="0.25">
      <c r="B110" s="3"/>
      <c r="C110" s="73"/>
      <c r="D110" s="3"/>
      <c r="E110" s="3"/>
      <c r="F110" s="3"/>
      <c r="G110" s="3"/>
      <c r="H110" s="3"/>
      <c r="I110" s="3"/>
      <c r="J110" s="3"/>
      <c r="L110" s="3"/>
      <c r="M110" s="3"/>
      <c r="N110" s="3"/>
      <c r="O110" s="3"/>
      <c r="P110" s="3"/>
      <c r="Q110" s="3"/>
      <c r="R110" s="3"/>
      <c r="S110" s="3"/>
      <c r="T110" s="3"/>
    </row>
    <row r="111" spans="2:20" x14ac:dyDescent="0.25">
      <c r="B111" s="3"/>
      <c r="C111" s="73"/>
      <c r="D111" s="3"/>
      <c r="E111" s="3"/>
      <c r="F111" s="3"/>
      <c r="G111" s="3"/>
      <c r="H111" s="3"/>
      <c r="I111" s="3"/>
      <c r="J111" s="3"/>
      <c r="L111" s="3"/>
      <c r="M111" s="3"/>
      <c r="N111" s="3"/>
      <c r="O111" s="3"/>
      <c r="P111" s="3"/>
      <c r="Q111" s="3"/>
      <c r="R111" s="3"/>
      <c r="S111" s="3"/>
      <c r="T111" s="3"/>
    </row>
    <row r="112" spans="2:20" x14ac:dyDescent="0.25">
      <c r="B112" s="3"/>
      <c r="C112" s="73"/>
      <c r="D112" s="3"/>
      <c r="E112" s="3"/>
      <c r="F112" s="3"/>
      <c r="G112" s="3"/>
      <c r="H112" s="3"/>
      <c r="I112" s="3"/>
      <c r="J112" s="3"/>
      <c r="L112" s="3"/>
      <c r="M112" s="3"/>
      <c r="N112" s="3"/>
      <c r="O112" s="3"/>
      <c r="P112" s="3"/>
      <c r="Q112" s="3"/>
      <c r="R112" s="3"/>
      <c r="S112" s="3"/>
      <c r="T112" s="3"/>
    </row>
    <row r="113" spans="1:20" x14ac:dyDescent="0.25">
      <c r="B113" s="3"/>
      <c r="C113" s="73"/>
      <c r="D113" s="3"/>
      <c r="E113" s="3"/>
      <c r="F113" s="3"/>
      <c r="G113" s="3"/>
      <c r="H113" s="3"/>
      <c r="I113" s="3"/>
      <c r="J113" s="3"/>
      <c r="L113" s="3"/>
      <c r="M113" s="3"/>
      <c r="N113" s="3"/>
      <c r="O113" s="3"/>
      <c r="P113" s="3"/>
      <c r="Q113" s="3"/>
      <c r="R113" s="3"/>
      <c r="S113" s="3"/>
      <c r="T113" s="3"/>
    </row>
    <row r="114" spans="1:20" x14ac:dyDescent="0.25">
      <c r="B114" s="3"/>
      <c r="C114" s="73"/>
      <c r="D114" s="3"/>
      <c r="E114" s="3"/>
      <c r="F114" s="3"/>
      <c r="G114" s="3"/>
      <c r="H114" s="3"/>
      <c r="I114" s="3"/>
      <c r="J114" s="3"/>
      <c r="L114" s="3"/>
      <c r="M114" s="3"/>
    </row>
    <row r="115" spans="1:20" x14ac:dyDescent="0.25">
      <c r="B115" s="3"/>
      <c r="C115" s="73"/>
      <c r="D115" s="3"/>
      <c r="E115" s="3"/>
      <c r="F115" s="3"/>
      <c r="G115" s="3"/>
      <c r="H115" s="3"/>
      <c r="I115" s="3"/>
      <c r="J115" s="3"/>
      <c r="L115" s="3"/>
      <c r="M115" s="3"/>
      <c r="N115" s="3"/>
      <c r="O115" s="3"/>
      <c r="P115" s="3"/>
      <c r="Q115" s="3"/>
      <c r="R115" s="3"/>
      <c r="S115" s="3"/>
      <c r="T115" s="3"/>
    </row>
    <row r="116" spans="1:20" x14ac:dyDescent="0.25">
      <c r="B116" s="3"/>
      <c r="C116" s="73"/>
      <c r="D116" s="3"/>
      <c r="E116" s="3"/>
      <c r="F116" s="3"/>
      <c r="G116" s="3"/>
      <c r="H116" s="3"/>
      <c r="I116" s="3"/>
      <c r="J116" s="3"/>
      <c r="L116" s="3"/>
      <c r="M116" s="3"/>
      <c r="N116" s="3"/>
      <c r="O116" s="3"/>
      <c r="P116" s="3"/>
      <c r="Q116" s="3"/>
      <c r="R116" s="3"/>
      <c r="S116" s="3"/>
      <c r="T116" s="3"/>
    </row>
    <row r="117" spans="1:20" x14ac:dyDescent="0.25">
      <c r="B117" s="3"/>
      <c r="C117" s="73"/>
      <c r="D117" s="3"/>
      <c r="E117" s="3"/>
      <c r="F117" s="3"/>
      <c r="G117" s="3"/>
      <c r="H117" s="3"/>
      <c r="I117" s="3"/>
      <c r="J117" s="3"/>
      <c r="L117" s="3"/>
      <c r="M117" s="3"/>
      <c r="N117" s="3"/>
      <c r="O117" s="3"/>
      <c r="P117" s="3"/>
      <c r="Q117" s="3"/>
      <c r="R117" s="3"/>
      <c r="S117" s="3"/>
      <c r="T117" s="3"/>
    </row>
    <row r="118" spans="1:20" x14ac:dyDescent="0.25">
      <c r="B118" s="3"/>
      <c r="C118" s="73"/>
      <c r="D118" s="3"/>
      <c r="E118" s="3"/>
      <c r="F118" s="3"/>
      <c r="G118" s="3"/>
      <c r="H118" s="3"/>
      <c r="I118" s="3"/>
      <c r="J118" s="3"/>
      <c r="L118" s="3"/>
      <c r="M118" s="3"/>
      <c r="N118" s="3"/>
      <c r="O118" s="3"/>
      <c r="P118" s="3"/>
      <c r="Q118" s="3"/>
      <c r="R118" s="3"/>
      <c r="S118" s="3"/>
      <c r="T118" s="3"/>
    </row>
    <row r="119" spans="1:20" x14ac:dyDescent="0.25">
      <c r="B119" s="3"/>
      <c r="C119" s="73"/>
      <c r="D119" s="3"/>
      <c r="E119" s="3"/>
      <c r="F119" s="3"/>
      <c r="G119" s="3"/>
      <c r="H119" s="3"/>
      <c r="I119" s="3"/>
      <c r="J119" s="3"/>
      <c r="L119" s="3"/>
    </row>
    <row r="120" spans="1:20" x14ac:dyDescent="0.25">
      <c r="A120" s="79"/>
      <c r="B120" s="3"/>
      <c r="C120" s="73"/>
      <c r="D120" s="3"/>
      <c r="E120" s="3"/>
      <c r="F120" s="3"/>
      <c r="G120" s="3"/>
      <c r="H120" s="3"/>
      <c r="I120" s="3"/>
      <c r="J120" s="3"/>
      <c r="K120" s="8"/>
    </row>
    <row r="121" spans="1:20" x14ac:dyDescent="0.25">
      <c r="B121" s="3"/>
      <c r="C121" s="73"/>
      <c r="D121" s="3"/>
      <c r="E121" s="3"/>
      <c r="F121" s="3"/>
      <c r="G121" s="3"/>
      <c r="H121" s="3"/>
      <c r="I121" s="3"/>
      <c r="J121" s="3"/>
      <c r="K121" s="8"/>
    </row>
    <row r="122" spans="1:20" x14ac:dyDescent="0.25">
      <c r="B122" s="3"/>
      <c r="C122" s="73"/>
      <c r="D122" s="3"/>
      <c r="E122" s="3"/>
      <c r="F122" s="3"/>
      <c r="G122" s="3"/>
      <c r="H122" s="3"/>
      <c r="I122" s="3"/>
      <c r="J122" s="3"/>
      <c r="K122" s="1"/>
    </row>
    <row r="123" spans="1:20" x14ac:dyDescent="0.25">
      <c r="B123" s="3"/>
      <c r="C123" s="73"/>
      <c r="D123" s="3"/>
      <c r="E123" s="3"/>
      <c r="F123" s="3"/>
      <c r="G123" s="3"/>
      <c r="H123" s="3"/>
      <c r="I123" s="3"/>
    </row>
    <row r="124" spans="1:20" x14ac:dyDescent="0.25">
      <c r="B124" s="3"/>
      <c r="C124" s="73"/>
      <c r="D124" s="3"/>
      <c r="E124" s="3"/>
      <c r="F124" s="3"/>
      <c r="G124" s="3"/>
      <c r="H124" s="3"/>
      <c r="I124" s="3"/>
    </row>
    <row r="125" spans="1:20" x14ac:dyDescent="0.25">
      <c r="B125" s="3"/>
      <c r="C125" s="73"/>
      <c r="D125" s="3"/>
      <c r="E125" s="3"/>
      <c r="F125" s="3"/>
      <c r="G125" s="3"/>
      <c r="H125" s="3"/>
      <c r="I125" s="3"/>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27C2-361C-4951-9EB0-BE901E05F912}">
  <dimension ref="A1:W63"/>
  <sheetViews>
    <sheetView workbookViewId="0">
      <pane xSplit="3" ySplit="3" topLeftCell="D4" activePane="bottomRight" state="frozen"/>
      <selection pane="topRight" activeCell="D1" sqref="D1"/>
      <selection pane="bottomLeft" activeCell="A3" sqref="A3"/>
      <selection pane="bottomRight" activeCell="A3" sqref="A3"/>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4" t="s">
        <v>765</v>
      </c>
      <c r="B1" s="104"/>
      <c r="C1" s="104"/>
      <c r="D1" s="104"/>
      <c r="E1" s="104"/>
      <c r="F1" s="104"/>
      <c r="G1" s="104"/>
      <c r="H1" s="104"/>
      <c r="I1" s="104"/>
      <c r="J1" s="104"/>
      <c r="K1" s="3"/>
    </row>
    <row r="2" spans="1:20" x14ac:dyDescent="0.25">
      <c r="A2" s="3" t="s">
        <v>880</v>
      </c>
      <c r="K2" s="3"/>
    </row>
    <row r="3" spans="1:20" x14ac:dyDescent="0.25">
      <c r="A3" s="58" t="s">
        <v>879</v>
      </c>
      <c r="B3" s="112" t="s">
        <v>486</v>
      </c>
      <c r="C3" s="112"/>
      <c r="D3" s="59" t="s">
        <v>82</v>
      </c>
      <c r="E3" s="60" t="s">
        <v>83</v>
      </c>
      <c r="F3" s="61" t="s">
        <v>84</v>
      </c>
      <c r="G3" s="61" t="s">
        <v>85</v>
      </c>
      <c r="H3" s="62" t="s">
        <v>86</v>
      </c>
      <c r="I3" s="63" t="s">
        <v>87</v>
      </c>
      <c r="J3" s="63" t="s">
        <v>477</v>
      </c>
      <c r="K3" s="64" t="s">
        <v>134</v>
      </c>
      <c r="L3" s="65" t="s">
        <v>347</v>
      </c>
      <c r="M3" s="65" t="s">
        <v>353</v>
      </c>
      <c r="N3" s="65" t="s">
        <v>348</v>
      </c>
      <c r="O3" s="66" t="s">
        <v>351</v>
      </c>
    </row>
    <row r="4" spans="1:20" customFormat="1" x14ac:dyDescent="0.25">
      <c r="A4" s="39" t="s">
        <v>88</v>
      </c>
      <c r="B4" s="55"/>
      <c r="C4" s="55"/>
      <c r="D4" s="55"/>
      <c r="E4" s="55"/>
      <c r="F4" s="55"/>
      <c r="G4" s="55"/>
      <c r="H4" s="55"/>
      <c r="I4" s="55"/>
      <c r="J4" s="56"/>
      <c r="K4" s="101"/>
      <c r="L4" s="102"/>
      <c r="M4" s="102"/>
      <c r="N4" s="102"/>
      <c r="O4" s="102"/>
      <c r="P4" s="102"/>
      <c r="Q4" s="102"/>
      <c r="R4" s="102"/>
      <c r="S4" s="102"/>
      <c r="T4" s="103"/>
    </row>
    <row r="5" spans="1:20"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456</v>
      </c>
    </row>
    <row r="11" spans="1:20" ht="28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4" t="s">
        <v>484</v>
      </c>
      <c r="K11" s="38" t="s">
        <v>598</v>
      </c>
    </row>
    <row r="12" spans="1:20" x14ac:dyDescent="0.25">
      <c r="A12" s="37"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479</v>
      </c>
      <c r="K16" s="1" t="s">
        <v>478</v>
      </c>
    </row>
    <row r="17" spans="1:1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479</v>
      </c>
      <c r="K17" s="1" t="s">
        <v>457</v>
      </c>
    </row>
    <row r="18" spans="1:1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479</v>
      </c>
      <c r="K18" s="1" t="s">
        <v>458</v>
      </c>
    </row>
    <row r="19" spans="1:1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479</v>
      </c>
      <c r="K19" s="1" t="s">
        <v>459</v>
      </c>
    </row>
    <row r="20" spans="1:1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3"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57" t="s">
        <v>511</v>
      </c>
      <c r="B42" s="57"/>
      <c r="C42" s="57"/>
      <c r="D42" s="57"/>
      <c r="E42" s="57"/>
      <c r="F42" s="57"/>
      <c r="G42" s="57"/>
      <c r="H42" s="57"/>
      <c r="I42" s="57"/>
      <c r="J42" s="39"/>
      <c r="K42" s="110"/>
      <c r="L42" s="111"/>
      <c r="M42" s="111"/>
      <c r="N42" s="111"/>
      <c r="O42" s="111"/>
      <c r="P42" s="111"/>
      <c r="Q42" s="111"/>
      <c r="R42" s="111"/>
      <c r="S42" s="111"/>
      <c r="T42" s="111"/>
      <c r="U42" s="111"/>
      <c r="V42" s="111"/>
      <c r="W42" s="111"/>
    </row>
    <row r="43" spans="1:23" ht="60" x14ac:dyDescent="0.25">
      <c r="A43" s="15" t="s">
        <v>448</v>
      </c>
      <c r="B43" s="3">
        <v>80</v>
      </c>
      <c r="C43" s="3">
        <v>0</v>
      </c>
      <c r="D43" s="3" t="s">
        <v>240</v>
      </c>
      <c r="E43" s="3"/>
      <c r="F43" s="3">
        <v>0</v>
      </c>
      <c r="G43" s="3">
        <v>3</v>
      </c>
      <c r="H43" s="3"/>
      <c r="I43" s="3" t="s">
        <v>87</v>
      </c>
      <c r="J43" s="3"/>
      <c r="K43" s="34" t="s">
        <v>627</v>
      </c>
    </row>
    <row r="44" spans="1:23" x14ac:dyDescent="0.25">
      <c r="A44" s="15" t="s">
        <v>449</v>
      </c>
      <c r="B44" s="3">
        <v>80</v>
      </c>
      <c r="C44" s="3">
        <v>1</v>
      </c>
      <c r="D44" s="3" t="s">
        <v>140</v>
      </c>
      <c r="E44" s="3"/>
      <c r="F44" s="3">
        <v>0</v>
      </c>
      <c r="G44" s="3">
        <v>1</v>
      </c>
      <c r="H44" s="3"/>
      <c r="I44" s="3" t="s">
        <v>93</v>
      </c>
      <c r="J44" s="3"/>
      <c r="K44" s="1" t="s">
        <v>628</v>
      </c>
      <c r="L44" s="3"/>
      <c r="M44" s="3"/>
      <c r="N44" s="3"/>
      <c r="O44" s="3"/>
    </row>
    <row r="45" spans="1:23" x14ac:dyDescent="0.25">
      <c r="A45" s="15" t="s">
        <v>450</v>
      </c>
      <c r="B45" s="3">
        <v>80</v>
      </c>
      <c r="C45" s="3">
        <v>2</v>
      </c>
      <c r="D45" s="3" t="s">
        <v>225</v>
      </c>
      <c r="E45" s="3"/>
      <c r="F45" s="3"/>
      <c r="G45" s="3"/>
      <c r="H45" s="3"/>
      <c r="I45" s="3" t="s">
        <v>93</v>
      </c>
      <c r="J45" s="3"/>
      <c r="K45" s="3"/>
    </row>
    <row r="46" spans="1:23" x14ac:dyDescent="0.25">
      <c r="A46" s="15" t="s">
        <v>451</v>
      </c>
      <c r="B46" s="3">
        <v>80</v>
      </c>
      <c r="C46" s="3">
        <v>3</v>
      </c>
      <c r="D46" s="3" t="s">
        <v>225</v>
      </c>
      <c r="E46" s="3"/>
      <c r="F46" s="3"/>
      <c r="G46" s="3"/>
      <c r="H46" s="3"/>
      <c r="I46" s="3" t="s">
        <v>93</v>
      </c>
      <c r="J46" s="3"/>
      <c r="K46" s="3"/>
    </row>
    <row r="47" spans="1:23" x14ac:dyDescent="0.25">
      <c r="A47" s="15" t="s">
        <v>452</v>
      </c>
      <c r="B47" s="3">
        <v>80</v>
      </c>
      <c r="C47" s="3">
        <v>4</v>
      </c>
      <c r="D47" s="3" t="s">
        <v>225</v>
      </c>
      <c r="I47" s="3" t="s">
        <v>93</v>
      </c>
      <c r="J47" s="3"/>
      <c r="K47" s="3"/>
    </row>
    <row r="48" spans="1:23" x14ac:dyDescent="0.25">
      <c r="A48" s="37" t="s">
        <v>453</v>
      </c>
      <c r="B48" s="3">
        <v>80</v>
      </c>
      <c r="C48" s="3">
        <v>5</v>
      </c>
      <c r="D48" s="3" t="s">
        <v>225</v>
      </c>
      <c r="I48" s="3" t="s">
        <v>93</v>
      </c>
      <c r="J48" s="3"/>
    </row>
    <row r="49" spans="1:11" x14ac:dyDescent="0.25">
      <c r="A49" s="37" t="s">
        <v>454</v>
      </c>
      <c r="B49" s="3">
        <v>80</v>
      </c>
      <c r="C49" s="3">
        <v>6</v>
      </c>
      <c r="D49" s="3" t="s">
        <v>225</v>
      </c>
      <c r="I49" s="3" t="s">
        <v>93</v>
      </c>
      <c r="J49" s="3"/>
    </row>
    <row r="50" spans="1:11" x14ac:dyDescent="0.25">
      <c r="A50" s="37" t="s">
        <v>455</v>
      </c>
      <c r="B50" s="3">
        <v>80</v>
      </c>
      <c r="C50" s="3">
        <v>7</v>
      </c>
      <c r="D50" s="3" t="s">
        <v>225</v>
      </c>
      <c r="I50" s="3" t="s">
        <v>93</v>
      </c>
    </row>
    <row r="51" spans="1:11" x14ac:dyDescent="0.25">
      <c r="A51" s="37" t="s">
        <v>460</v>
      </c>
      <c r="B51" s="3">
        <v>80</v>
      </c>
      <c r="C51" s="3">
        <v>8</v>
      </c>
      <c r="D51" s="3" t="s">
        <v>225</v>
      </c>
      <c r="I51" s="3" t="s">
        <v>93</v>
      </c>
    </row>
    <row r="52" spans="1:11" x14ac:dyDescent="0.25">
      <c r="A52" s="37" t="s">
        <v>461</v>
      </c>
      <c r="B52" s="3">
        <v>80</v>
      </c>
      <c r="C52" s="3">
        <v>9</v>
      </c>
      <c r="D52" s="3" t="s">
        <v>225</v>
      </c>
      <c r="I52" s="3" t="s">
        <v>93</v>
      </c>
    </row>
    <row r="53" spans="1:11" x14ac:dyDescent="0.25">
      <c r="A53" s="37" t="s">
        <v>591</v>
      </c>
      <c r="B53" s="3">
        <v>80</v>
      </c>
      <c r="C53" s="3" t="s">
        <v>55</v>
      </c>
      <c r="D53" s="3" t="s">
        <v>140</v>
      </c>
      <c r="F53" s="3">
        <v>0</v>
      </c>
      <c r="G53" s="3">
        <v>1</v>
      </c>
      <c r="I53" s="3" t="s">
        <v>93</v>
      </c>
      <c r="K53" s="1" t="s">
        <v>629</v>
      </c>
    </row>
    <row r="54" spans="1:11" x14ac:dyDescent="0.25">
      <c r="A54" s="37" t="s">
        <v>592</v>
      </c>
      <c r="B54" s="3">
        <v>80</v>
      </c>
      <c r="C54" s="3" t="s">
        <v>57</v>
      </c>
      <c r="D54" s="3" t="s">
        <v>140</v>
      </c>
      <c r="F54" s="3">
        <v>0</v>
      </c>
      <c r="G54" s="3">
        <v>1</v>
      </c>
      <c r="I54" s="3" t="s">
        <v>93</v>
      </c>
      <c r="K54" s="1" t="s">
        <v>629</v>
      </c>
    </row>
    <row r="55" spans="1:11" x14ac:dyDescent="0.25">
      <c r="A55" s="37" t="s">
        <v>442</v>
      </c>
      <c r="B55" s="3">
        <v>80</v>
      </c>
      <c r="C55" s="3" t="s">
        <v>58</v>
      </c>
      <c r="D55" s="3" t="s">
        <v>140</v>
      </c>
      <c r="F55" s="3">
        <v>0</v>
      </c>
      <c r="G55" s="3">
        <v>1</v>
      </c>
    </row>
    <row r="56" spans="1:11" ht="60" x14ac:dyDescent="0.25">
      <c r="A56" s="37" t="s">
        <v>593</v>
      </c>
      <c r="B56" s="3">
        <v>80</v>
      </c>
      <c r="C56" s="3" t="s">
        <v>60</v>
      </c>
      <c r="D56" s="3" t="s">
        <v>137</v>
      </c>
      <c r="K56" s="34" t="s">
        <v>623</v>
      </c>
    </row>
    <row r="57" spans="1:11" ht="30" x14ac:dyDescent="0.25">
      <c r="A57" s="37" t="s">
        <v>594</v>
      </c>
      <c r="B57" s="3">
        <v>80</v>
      </c>
      <c r="C57" s="3" t="s">
        <v>63</v>
      </c>
      <c r="D57" s="3" t="s">
        <v>137</v>
      </c>
      <c r="K57" s="34" t="s">
        <v>616</v>
      </c>
    </row>
    <row r="58" spans="1:11" x14ac:dyDescent="0.25">
      <c r="A58" s="37" t="s">
        <v>595</v>
      </c>
      <c r="B58" s="3">
        <v>80</v>
      </c>
      <c r="C58" s="3" t="s">
        <v>65</v>
      </c>
      <c r="D58" s="3" t="s">
        <v>620</v>
      </c>
    </row>
    <row r="59" spans="1:11" x14ac:dyDescent="0.25">
      <c r="A59" s="37" t="s">
        <v>596</v>
      </c>
      <c r="B59" s="3">
        <v>80</v>
      </c>
      <c r="C59" s="3">
        <v>10</v>
      </c>
      <c r="D59" s="3" t="s">
        <v>620</v>
      </c>
    </row>
    <row r="60" spans="1:11" x14ac:dyDescent="0.25">
      <c r="A60" s="37" t="s">
        <v>597</v>
      </c>
      <c r="B60" s="1">
        <v>80</v>
      </c>
      <c r="C60" s="1">
        <v>11</v>
      </c>
      <c r="D60" s="1" t="s">
        <v>140</v>
      </c>
    </row>
    <row r="61" spans="1:11" ht="105" x14ac:dyDescent="0.25">
      <c r="A61" s="37" t="s">
        <v>600</v>
      </c>
      <c r="B61" s="1">
        <v>80</v>
      </c>
      <c r="C61" s="1">
        <v>12</v>
      </c>
      <c r="D61" s="1" t="s">
        <v>137</v>
      </c>
      <c r="K61" s="34" t="s">
        <v>617</v>
      </c>
    </row>
    <row r="62" spans="1:11" x14ac:dyDescent="0.25">
      <c r="A62" s="37" t="s">
        <v>601</v>
      </c>
      <c r="B62" s="1">
        <v>80</v>
      </c>
      <c r="C62" s="1">
        <v>13</v>
      </c>
      <c r="D62" s="1" t="s">
        <v>131</v>
      </c>
    </row>
    <row r="63" spans="1:11" ht="135" x14ac:dyDescent="0.25">
      <c r="A63" s="3" t="s">
        <v>618</v>
      </c>
      <c r="B63" s="1">
        <v>80</v>
      </c>
      <c r="C63" s="1">
        <v>14</v>
      </c>
      <c r="K63" s="34" t="s">
        <v>619</v>
      </c>
    </row>
  </sheetData>
  <mergeCells count="4">
    <mergeCell ref="A1:J1"/>
    <mergeCell ref="B3:C3"/>
    <mergeCell ref="K4:T4"/>
    <mergeCell ref="K42:W4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AF7C-EB69-4452-AA24-2BDA63FCA422}">
  <dimension ref="A1:AMM158"/>
  <sheetViews>
    <sheetView zoomScale="98" zoomScaleNormal="100" workbookViewId="0">
      <pane xSplit="1" ySplit="3" topLeftCell="B27" activePane="bottomRight" state="frozen"/>
      <selection pane="topRight" activeCell="B1" sqref="B1"/>
      <selection pane="bottomLeft" activeCell="A4" sqref="A4"/>
      <selection pane="bottomRight" activeCell="A121" sqref="A121"/>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883</v>
      </c>
      <c r="J2" s="3"/>
      <c r="K2" s="1"/>
    </row>
    <row r="3" spans="1:20" x14ac:dyDescent="0.25">
      <c r="A3" s="10" t="s">
        <v>884</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81.2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885</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9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975</v>
      </c>
      <c r="L26" s="3"/>
      <c r="M26" s="3"/>
      <c r="N26" s="3"/>
      <c r="O26" s="3"/>
      <c r="P26" s="3"/>
      <c r="Q26" s="3"/>
      <c r="R26" s="3"/>
      <c r="S26" s="3"/>
      <c r="T26" s="3"/>
    </row>
    <row r="27" spans="1:20" customFormat="1" ht="90"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974</v>
      </c>
      <c r="L27" s="3"/>
      <c r="M27" s="3"/>
      <c r="N27" s="3"/>
      <c r="O27" s="3"/>
      <c r="P27" s="3"/>
      <c r="Q27" s="3"/>
      <c r="R27" s="3"/>
      <c r="S27" s="3"/>
      <c r="T27" s="3"/>
    </row>
    <row r="28" spans="1:20"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25">
      <c r="A29" s="39" t="s">
        <v>886</v>
      </c>
      <c r="B29" s="53"/>
      <c r="C29" s="53"/>
      <c r="D29" s="53"/>
      <c r="E29" s="53"/>
      <c r="F29" s="53"/>
      <c r="G29" s="53"/>
      <c r="H29" s="53"/>
      <c r="I29" s="53"/>
      <c r="J29" s="53"/>
      <c r="K29" s="101"/>
      <c r="L29" s="102"/>
      <c r="M29" s="102"/>
      <c r="N29" s="102"/>
      <c r="O29" s="102"/>
      <c r="P29" s="102"/>
      <c r="Q29" s="102"/>
      <c r="R29" s="102"/>
      <c r="S29" s="102"/>
      <c r="T29" s="103"/>
    </row>
    <row r="30" spans="1:20" ht="30" x14ac:dyDescent="0.25">
      <c r="A30" s="15"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15"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15" t="s">
        <v>768</v>
      </c>
      <c r="B32" s="3">
        <v>80</v>
      </c>
      <c r="C32" s="73" t="str">
        <f t="shared" ref="C32:C95" si="0">DEC2HEX(HEX2DEC(C31)+1)</f>
        <v>2</v>
      </c>
      <c r="D32" s="3" t="s">
        <v>137</v>
      </c>
      <c r="E32" s="3"/>
      <c r="F32" s="3"/>
      <c r="G32" s="3"/>
      <c r="H32" s="3"/>
      <c r="I32" s="3" t="s">
        <v>103</v>
      </c>
      <c r="J32" s="3"/>
      <c r="K32" s="8" t="s">
        <v>579</v>
      </c>
      <c r="L32" s="3"/>
      <c r="M32" s="3"/>
      <c r="N32" s="3"/>
      <c r="O32" s="3"/>
      <c r="P32" s="3"/>
      <c r="Q32" s="3"/>
      <c r="R32" s="3"/>
      <c r="S32" s="3"/>
      <c r="T32" s="3"/>
    </row>
    <row r="33" spans="1:1027" x14ac:dyDescent="0.25">
      <c r="A33" s="15"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1027" x14ac:dyDescent="0.25">
      <c r="A34" s="77" t="s">
        <v>771</v>
      </c>
      <c r="B34" s="3">
        <v>80</v>
      </c>
      <c r="C34" s="73" t="str">
        <f t="shared" si="0"/>
        <v>4</v>
      </c>
      <c r="D34" s="3"/>
      <c r="E34" s="3"/>
      <c r="F34" s="3"/>
      <c r="G34" s="3"/>
      <c r="H34" s="3"/>
      <c r="I34" s="3"/>
      <c r="J34" s="3"/>
      <c r="L34" s="3"/>
    </row>
    <row r="35" spans="1:1027" x14ac:dyDescent="0.25">
      <c r="A35" s="77" t="s">
        <v>771</v>
      </c>
      <c r="B35" s="3">
        <v>80</v>
      </c>
      <c r="C35" s="73" t="str">
        <f t="shared" si="0"/>
        <v>5</v>
      </c>
      <c r="D35" s="3"/>
      <c r="E35" s="3"/>
      <c r="F35" s="3"/>
      <c r="G35" s="3"/>
      <c r="H35" s="3"/>
      <c r="I35" s="3"/>
      <c r="J35" s="3"/>
      <c r="L35" s="3"/>
    </row>
    <row r="36" spans="1:1027" x14ac:dyDescent="0.25">
      <c r="A36" s="77" t="s">
        <v>771</v>
      </c>
      <c r="B36" s="3">
        <v>80</v>
      </c>
      <c r="C36" s="73" t="str">
        <f t="shared" si="0"/>
        <v>6</v>
      </c>
      <c r="D36" s="3" t="s">
        <v>137</v>
      </c>
      <c r="E36" s="3"/>
      <c r="F36" s="3"/>
      <c r="G36" s="3"/>
      <c r="H36" s="3"/>
      <c r="I36" s="3"/>
      <c r="J36" s="3"/>
      <c r="K36" s="3" t="s">
        <v>308</v>
      </c>
      <c r="L36" s="3"/>
      <c r="M36" s="3"/>
      <c r="N36" s="3"/>
      <c r="O36" s="3"/>
      <c r="P36" s="3"/>
      <c r="Q36" s="3"/>
      <c r="R36" s="3"/>
      <c r="S36" s="3"/>
      <c r="T36" s="3"/>
    </row>
    <row r="37" spans="1:1027" x14ac:dyDescent="0.25">
      <c r="A37" s="15" t="s">
        <v>832</v>
      </c>
      <c r="B37" s="3">
        <v>80</v>
      </c>
      <c r="C37" s="73" t="str">
        <f t="shared" si="0"/>
        <v>7</v>
      </c>
      <c r="D37" s="3" t="s">
        <v>240</v>
      </c>
      <c r="F37" s="3">
        <v>0</v>
      </c>
      <c r="G37" s="3">
        <v>65535</v>
      </c>
      <c r="H37" s="3" t="s">
        <v>633</v>
      </c>
      <c r="I37" s="3" t="s">
        <v>87</v>
      </c>
      <c r="K37" s="3" t="s">
        <v>658</v>
      </c>
      <c r="L37" s="3"/>
      <c r="M37" s="3"/>
      <c r="N37" s="3"/>
      <c r="O37" s="3"/>
      <c r="P37" s="3"/>
      <c r="Q37" s="3"/>
      <c r="R37" s="3"/>
      <c r="S37" s="3"/>
      <c r="T37" s="3"/>
    </row>
    <row r="38" spans="1:1027" x14ac:dyDescent="0.25">
      <c r="A38" s="15" t="s">
        <v>831</v>
      </c>
      <c r="B38" s="3">
        <v>80</v>
      </c>
      <c r="C38" s="73" t="str">
        <f t="shared" si="0"/>
        <v>8</v>
      </c>
      <c r="D38" s="3" t="s">
        <v>240</v>
      </c>
      <c r="F38" s="3">
        <v>0</v>
      </c>
      <c r="G38" s="3">
        <v>65535</v>
      </c>
      <c r="H38" s="3" t="s">
        <v>633</v>
      </c>
      <c r="I38" s="3" t="s">
        <v>87</v>
      </c>
      <c r="K38" s="3" t="s">
        <v>657</v>
      </c>
      <c r="L38" s="3"/>
      <c r="M38" s="3"/>
      <c r="N38" s="3"/>
      <c r="O38" s="3"/>
      <c r="P38" s="3"/>
      <c r="Q38" s="3"/>
      <c r="R38" s="3"/>
      <c r="S38" s="3"/>
      <c r="T38" s="3"/>
    </row>
    <row r="39" spans="1:1027" customFormat="1" x14ac:dyDescent="0.25">
      <c r="A39" s="15" t="s">
        <v>654</v>
      </c>
      <c r="B39" s="3">
        <v>80</v>
      </c>
      <c r="C39" s="73" t="str">
        <f t="shared" si="0"/>
        <v>9</v>
      </c>
      <c r="D39" s="3" t="s">
        <v>240</v>
      </c>
      <c r="E39" s="1"/>
      <c r="F39" s="3">
        <v>0</v>
      </c>
      <c r="G39" s="3">
        <v>65535</v>
      </c>
      <c r="H39" s="3" t="s">
        <v>633</v>
      </c>
      <c r="I39" s="3" t="s">
        <v>87</v>
      </c>
      <c r="J39" s="1"/>
      <c r="K39" s="3" t="s">
        <v>658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5" t="s">
        <v>653</v>
      </c>
      <c r="B40" s="3">
        <v>80</v>
      </c>
      <c r="C40" s="73" t="str">
        <f t="shared" si="0"/>
        <v>A</v>
      </c>
      <c r="D40" s="3" t="s">
        <v>240</v>
      </c>
      <c r="F40" s="3">
        <v>0</v>
      </c>
      <c r="G40" s="3">
        <v>65535</v>
      </c>
      <c r="H40" s="3" t="s">
        <v>633</v>
      </c>
      <c r="I40" s="3" t="s">
        <v>87</v>
      </c>
      <c r="K40" s="3" t="s">
        <v>657</v>
      </c>
      <c r="L40" s="3"/>
      <c r="M40" s="3"/>
      <c r="N40" s="3"/>
      <c r="O40" s="3"/>
      <c r="P40" s="3"/>
      <c r="Q40" s="3"/>
      <c r="R40" s="3"/>
      <c r="S40" s="3"/>
      <c r="T40" s="3"/>
    </row>
    <row r="41" spans="1:1027" x14ac:dyDescent="0.25">
      <c r="A41" s="77" t="s">
        <v>771</v>
      </c>
      <c r="B41" s="3">
        <v>80</v>
      </c>
      <c r="C41" s="73" t="str">
        <f t="shared" si="0"/>
        <v>B</v>
      </c>
      <c r="D41" s="3" t="s">
        <v>225</v>
      </c>
      <c r="E41" s="3"/>
      <c r="F41" s="3">
        <v>-180</v>
      </c>
      <c r="G41" s="3">
        <v>180</v>
      </c>
      <c r="H41" s="3" t="s">
        <v>226</v>
      </c>
      <c r="I41" s="3" t="s">
        <v>93</v>
      </c>
      <c r="J41" s="3"/>
      <c r="L41" s="3"/>
      <c r="M41" s="3"/>
      <c r="N41" s="3"/>
      <c r="O41" s="3"/>
      <c r="P41" s="3"/>
      <c r="Q41" s="3"/>
      <c r="R41" s="3"/>
      <c r="S41" s="3"/>
      <c r="T41" s="3"/>
    </row>
    <row r="42" spans="1:1027" x14ac:dyDescent="0.25">
      <c r="A42" s="77" t="s">
        <v>771</v>
      </c>
      <c r="B42" s="3">
        <v>80</v>
      </c>
      <c r="C42" s="73" t="str">
        <f t="shared" si="0"/>
        <v>C</v>
      </c>
      <c r="D42" s="3" t="s">
        <v>225</v>
      </c>
      <c r="E42" s="3"/>
      <c r="F42" s="3">
        <v>-180</v>
      </c>
      <c r="G42" s="3">
        <v>180</v>
      </c>
      <c r="H42" s="3" t="s">
        <v>226</v>
      </c>
      <c r="I42" s="3" t="s">
        <v>93</v>
      </c>
      <c r="J42" s="3"/>
      <c r="L42" s="3"/>
      <c r="M42" s="3"/>
      <c r="N42" s="3"/>
      <c r="O42" s="3"/>
      <c r="P42" s="3"/>
      <c r="Q42" s="3"/>
      <c r="R42" s="3"/>
      <c r="S42" s="3"/>
      <c r="T42" s="3"/>
    </row>
    <row r="43" spans="1:1027" x14ac:dyDescent="0.25">
      <c r="A43" s="77" t="s">
        <v>771</v>
      </c>
      <c r="B43" s="3">
        <v>80</v>
      </c>
      <c r="C43" s="73" t="str">
        <f t="shared" si="0"/>
        <v>D</v>
      </c>
      <c r="D43" s="3" t="s">
        <v>225</v>
      </c>
      <c r="E43" s="3"/>
      <c r="F43" s="3">
        <v>-180</v>
      </c>
      <c r="G43" s="3">
        <v>180</v>
      </c>
      <c r="H43" s="3" t="s">
        <v>226</v>
      </c>
      <c r="I43" s="3" t="s">
        <v>93</v>
      </c>
      <c r="J43" s="3"/>
      <c r="L43" s="3"/>
      <c r="M43" s="3"/>
      <c r="N43" s="3"/>
      <c r="O43" s="3"/>
      <c r="P43" s="3"/>
      <c r="Q43" s="3"/>
      <c r="R43" s="3"/>
      <c r="S43" s="3"/>
      <c r="T43" s="3"/>
    </row>
    <row r="44" spans="1:1027" x14ac:dyDescent="0.25">
      <c r="A44" s="77" t="s">
        <v>771</v>
      </c>
      <c r="B44" s="3">
        <v>80</v>
      </c>
      <c r="C44" s="73" t="str">
        <f t="shared" si="0"/>
        <v>E</v>
      </c>
      <c r="D44" s="3" t="s">
        <v>225</v>
      </c>
      <c r="E44" s="3"/>
      <c r="F44" s="3"/>
      <c r="G44" s="3"/>
      <c r="H44" s="3"/>
      <c r="I44" s="3" t="s">
        <v>93</v>
      </c>
      <c r="J44" s="3"/>
      <c r="L44" s="3"/>
      <c r="M44" s="3"/>
      <c r="N44" s="3"/>
      <c r="O44" s="3"/>
      <c r="P44" s="3"/>
      <c r="Q44" s="3"/>
      <c r="R44" s="3"/>
      <c r="S44" s="3"/>
      <c r="T44" s="3"/>
    </row>
    <row r="45" spans="1:1027" x14ac:dyDescent="0.25">
      <c r="A45" s="77" t="s">
        <v>771</v>
      </c>
      <c r="B45" s="3">
        <v>80</v>
      </c>
      <c r="C45" s="73" t="str">
        <f t="shared" si="0"/>
        <v>F</v>
      </c>
      <c r="D45" s="3" t="s">
        <v>225</v>
      </c>
      <c r="E45" s="3"/>
      <c r="F45" s="3"/>
      <c r="G45" s="3"/>
      <c r="H45" s="3"/>
      <c r="I45" s="3" t="s">
        <v>93</v>
      </c>
      <c r="J45" s="3"/>
      <c r="L45" s="3"/>
      <c r="M45" s="3"/>
      <c r="N45" s="3"/>
      <c r="O45" s="3"/>
      <c r="P45" s="3"/>
      <c r="Q45" s="3"/>
      <c r="R45" s="3"/>
      <c r="S45" s="3"/>
      <c r="T45" s="3"/>
    </row>
    <row r="46" spans="1:1027" x14ac:dyDescent="0.25">
      <c r="A46" s="77" t="s">
        <v>771</v>
      </c>
      <c r="B46" s="3">
        <v>80</v>
      </c>
      <c r="C46" s="73" t="str">
        <f t="shared" si="0"/>
        <v>10</v>
      </c>
      <c r="D46" s="3" t="s">
        <v>225</v>
      </c>
      <c r="E46" s="3"/>
      <c r="F46" s="3"/>
      <c r="G46" s="3"/>
      <c r="H46" s="3"/>
      <c r="I46" s="3" t="s">
        <v>93</v>
      </c>
      <c r="J46" s="3"/>
      <c r="L46" s="3"/>
      <c r="M46" s="3"/>
      <c r="N46" s="3"/>
      <c r="O46" s="3"/>
      <c r="P46" s="3"/>
      <c r="Q46" s="3"/>
      <c r="R46" s="3"/>
      <c r="S46" s="3"/>
      <c r="T46" s="3"/>
    </row>
    <row r="47" spans="1:1027" x14ac:dyDescent="0.25">
      <c r="A47" s="37" t="s">
        <v>624</v>
      </c>
      <c r="B47" s="3">
        <v>80</v>
      </c>
      <c r="C47" s="73" t="str">
        <f t="shared" si="0"/>
        <v>11</v>
      </c>
      <c r="D47" s="3" t="s">
        <v>137</v>
      </c>
      <c r="E47" s="3"/>
      <c r="F47" s="3">
        <v>0</v>
      </c>
      <c r="G47" s="3">
        <v>3</v>
      </c>
      <c r="H47" s="3"/>
      <c r="I47" s="3" t="s">
        <v>93</v>
      </c>
      <c r="J47" s="3"/>
      <c r="K47" s="3" t="s">
        <v>625</v>
      </c>
      <c r="L47" s="3"/>
      <c r="M47" s="3"/>
      <c r="N47" s="3"/>
      <c r="O47" s="3"/>
      <c r="P47" s="3"/>
      <c r="Q47" s="3"/>
      <c r="R47" s="3"/>
      <c r="S47" s="3"/>
      <c r="T47" s="3"/>
    </row>
    <row r="48" spans="1:1027" x14ac:dyDescent="0.25">
      <c r="A48" s="77" t="s">
        <v>771</v>
      </c>
      <c r="B48" s="3">
        <v>80</v>
      </c>
      <c r="C48" s="73" t="str">
        <f t="shared" si="0"/>
        <v>12</v>
      </c>
      <c r="D48" s="3"/>
      <c r="E48" s="3"/>
      <c r="F48" s="3"/>
      <c r="G48" s="3"/>
      <c r="H48" s="3"/>
      <c r="I48" s="3" t="s">
        <v>93</v>
      </c>
      <c r="J48" s="3"/>
      <c r="L48" s="3"/>
      <c r="M48" s="3"/>
      <c r="N48" s="3"/>
      <c r="O48" s="3"/>
      <c r="P48" s="3"/>
      <c r="Q48" s="3"/>
      <c r="R48" s="3"/>
      <c r="S48" s="3"/>
      <c r="T48" s="3"/>
    </row>
    <row r="49" spans="1:20" x14ac:dyDescent="0.25">
      <c r="A49" s="37" t="s">
        <v>887</v>
      </c>
      <c r="B49" s="3">
        <v>80</v>
      </c>
      <c r="C49" s="73" t="str">
        <f t="shared" si="0"/>
        <v>13</v>
      </c>
      <c r="D49" s="3" t="s">
        <v>140</v>
      </c>
      <c r="E49" s="3"/>
      <c r="F49" s="3">
        <v>0</v>
      </c>
      <c r="G49" s="3">
        <v>1</v>
      </c>
      <c r="H49" s="3"/>
      <c r="I49" s="3" t="s">
        <v>93</v>
      </c>
      <c r="J49" s="3"/>
      <c r="L49" s="3"/>
      <c r="M49" s="3"/>
      <c r="N49" s="3"/>
      <c r="O49" s="3"/>
      <c r="P49" s="3"/>
      <c r="Q49" s="3"/>
      <c r="R49" s="3"/>
      <c r="S49" s="3"/>
      <c r="T49" s="3"/>
    </row>
    <row r="50" spans="1:20" x14ac:dyDescent="0.25">
      <c r="A50" s="77" t="s">
        <v>771</v>
      </c>
      <c r="B50" s="3">
        <v>80</v>
      </c>
      <c r="C50" s="73" t="str">
        <f t="shared" si="0"/>
        <v>14</v>
      </c>
      <c r="D50" s="3" t="s">
        <v>140</v>
      </c>
      <c r="E50" s="3"/>
      <c r="F50" s="3">
        <v>0</v>
      </c>
      <c r="G50" s="3">
        <v>1</v>
      </c>
      <c r="H50" s="3"/>
      <c r="I50" s="3" t="s">
        <v>93</v>
      </c>
      <c r="J50" s="3"/>
      <c r="L50" s="3"/>
      <c r="M50" s="3"/>
      <c r="N50" s="3"/>
      <c r="O50" s="3"/>
      <c r="P50" s="3"/>
      <c r="Q50" s="3"/>
      <c r="R50" s="3"/>
      <c r="S50" s="3"/>
      <c r="T50" s="3"/>
    </row>
    <row r="51" spans="1:20" x14ac:dyDescent="0.25">
      <c r="A51" s="37" t="s">
        <v>499</v>
      </c>
      <c r="B51" s="3">
        <v>80</v>
      </c>
      <c r="C51" s="73" t="str">
        <f t="shared" si="0"/>
        <v>15</v>
      </c>
      <c r="D51" s="3" t="s">
        <v>137</v>
      </c>
      <c r="E51" s="3"/>
      <c r="F51" s="3">
        <v>0</v>
      </c>
      <c r="G51" s="3">
        <v>2</v>
      </c>
      <c r="H51" s="3"/>
      <c r="I51" s="3" t="s">
        <v>93</v>
      </c>
      <c r="J51" s="3"/>
      <c r="K51" s="3" t="s">
        <v>500</v>
      </c>
      <c r="L51" s="3"/>
      <c r="M51" s="3"/>
      <c r="N51" s="3"/>
      <c r="O51" s="3"/>
      <c r="P51" s="3"/>
      <c r="Q51" s="3"/>
      <c r="R51" s="3"/>
      <c r="S51" s="3"/>
      <c r="T51" s="3"/>
    </row>
    <row r="52" spans="1:20" x14ac:dyDescent="0.25">
      <c r="A52" s="21" t="s">
        <v>571</v>
      </c>
      <c r="B52" s="3">
        <v>80</v>
      </c>
      <c r="C52" s="73" t="str">
        <f t="shared" si="0"/>
        <v>16</v>
      </c>
      <c r="D52" s="3" t="s">
        <v>128</v>
      </c>
      <c r="E52" s="3"/>
      <c r="F52" s="3"/>
      <c r="G52" s="3"/>
      <c r="H52" s="3"/>
      <c r="I52" s="3"/>
      <c r="J52" s="3"/>
      <c r="L52" s="3"/>
      <c r="M52" s="3"/>
      <c r="N52" s="3"/>
      <c r="O52" s="3"/>
      <c r="P52" s="3"/>
      <c r="Q52" s="3"/>
      <c r="R52" s="3"/>
      <c r="S52" s="3"/>
      <c r="T52" s="3"/>
    </row>
    <row r="53" spans="1:20" x14ac:dyDescent="0.25">
      <c r="A53" s="21" t="s">
        <v>570</v>
      </c>
      <c r="B53" s="3">
        <v>80</v>
      </c>
      <c r="C53" s="73" t="str">
        <f t="shared" si="0"/>
        <v>17</v>
      </c>
      <c r="D53" s="3" t="s">
        <v>128</v>
      </c>
      <c r="E53" s="3"/>
      <c r="F53" s="3"/>
      <c r="G53" s="3"/>
      <c r="H53" s="3"/>
      <c r="I53" s="3"/>
      <c r="J53" s="3"/>
      <c r="L53" s="3"/>
      <c r="M53" s="3"/>
      <c r="N53" s="3"/>
      <c r="O53" s="3"/>
      <c r="P53" s="3"/>
      <c r="Q53" s="3"/>
      <c r="R53" s="3"/>
      <c r="S53" s="3"/>
      <c r="T53" s="3"/>
    </row>
    <row r="54" spans="1:20" x14ac:dyDescent="0.25">
      <c r="A54" s="21" t="s">
        <v>572</v>
      </c>
      <c r="B54" s="3">
        <v>80</v>
      </c>
      <c r="C54" s="73" t="str">
        <f t="shared" si="0"/>
        <v>18</v>
      </c>
      <c r="D54" s="3" t="s">
        <v>128</v>
      </c>
      <c r="E54" s="3"/>
      <c r="F54" s="3"/>
      <c r="G54" s="3"/>
      <c r="H54" s="3"/>
      <c r="I54" s="3"/>
      <c r="J54" s="3"/>
      <c r="L54" s="3"/>
      <c r="M54" s="3"/>
      <c r="N54" s="3"/>
      <c r="O54" s="3"/>
      <c r="P54" s="3"/>
      <c r="Q54" s="3"/>
      <c r="R54" s="3"/>
      <c r="S54" s="3"/>
      <c r="T54" s="3"/>
    </row>
    <row r="55" spans="1:20" x14ac:dyDescent="0.25">
      <c r="A55" s="21" t="s">
        <v>573</v>
      </c>
      <c r="B55" s="3">
        <v>80</v>
      </c>
      <c r="C55" s="73" t="str">
        <f t="shared" si="0"/>
        <v>19</v>
      </c>
      <c r="D55" s="3" t="s">
        <v>128</v>
      </c>
      <c r="E55" s="3"/>
      <c r="F55" s="3"/>
      <c r="G55" s="3"/>
      <c r="H55" s="3"/>
      <c r="I55" s="3"/>
      <c r="J55" s="3"/>
      <c r="L55" s="3"/>
      <c r="M55" s="3"/>
      <c r="N55" s="3"/>
      <c r="O55" s="3"/>
      <c r="P55" s="3"/>
      <c r="Q55" s="3"/>
      <c r="R55" s="3"/>
      <c r="S55" s="3"/>
      <c r="T55" s="3"/>
    </row>
    <row r="56" spans="1:20" x14ac:dyDescent="0.25">
      <c r="A56" s="37" t="s">
        <v>780</v>
      </c>
      <c r="B56" s="3">
        <v>80</v>
      </c>
      <c r="C56" s="73" t="str">
        <f t="shared" si="0"/>
        <v>1A</v>
      </c>
      <c r="D56" s="3" t="s">
        <v>137</v>
      </c>
      <c r="E56" s="3"/>
      <c r="F56" s="3">
        <v>0</v>
      </c>
      <c r="G56" s="3">
        <v>2</v>
      </c>
      <c r="H56" s="3"/>
      <c r="I56" s="3" t="s">
        <v>93</v>
      </c>
      <c r="J56" s="3"/>
      <c r="K56" s="3" t="s">
        <v>500</v>
      </c>
      <c r="L56" s="3"/>
      <c r="M56" s="3"/>
      <c r="N56" s="3"/>
      <c r="O56" s="3"/>
      <c r="P56" s="3"/>
      <c r="Q56" s="3"/>
      <c r="R56" s="3"/>
      <c r="S56" s="3"/>
      <c r="T56" s="3"/>
    </row>
    <row r="57" spans="1:20" x14ac:dyDescent="0.25">
      <c r="A57" s="21" t="s">
        <v>528</v>
      </c>
      <c r="B57" s="3">
        <v>80</v>
      </c>
      <c r="C57" s="73" t="str">
        <f t="shared" si="0"/>
        <v>1B</v>
      </c>
      <c r="D57" s="3" t="s">
        <v>128</v>
      </c>
      <c r="E57" s="3"/>
      <c r="F57" s="3"/>
      <c r="G57" s="3"/>
      <c r="H57" s="3"/>
      <c r="I57" s="3"/>
      <c r="J57" s="3"/>
      <c r="L57" s="3"/>
      <c r="M57" s="3"/>
      <c r="N57" s="3"/>
      <c r="O57" s="3"/>
      <c r="P57" s="3"/>
      <c r="Q57" s="3"/>
      <c r="R57" s="3"/>
      <c r="S57" s="3"/>
      <c r="T57" s="3"/>
    </row>
    <row r="58" spans="1:20" x14ac:dyDescent="0.25">
      <c r="A58" s="21" t="s">
        <v>529</v>
      </c>
      <c r="B58" s="3">
        <v>80</v>
      </c>
      <c r="C58" s="73" t="str">
        <f t="shared" si="0"/>
        <v>1C</v>
      </c>
      <c r="D58" s="3"/>
      <c r="E58" s="3"/>
      <c r="F58" s="3"/>
      <c r="G58" s="3"/>
      <c r="H58" s="3"/>
      <c r="I58" s="3"/>
      <c r="J58" s="3"/>
      <c r="L58" s="3"/>
      <c r="M58" s="3"/>
      <c r="N58" s="3"/>
      <c r="O58" s="3"/>
      <c r="P58" s="3"/>
      <c r="Q58" s="3"/>
      <c r="R58" s="3"/>
      <c r="S58" s="3"/>
      <c r="T58" s="3"/>
    </row>
    <row r="59" spans="1:20" x14ac:dyDescent="0.25">
      <c r="A59" s="21" t="s">
        <v>530</v>
      </c>
      <c r="B59" s="3">
        <v>80</v>
      </c>
      <c r="C59" s="73" t="str">
        <f t="shared" si="0"/>
        <v>1D</v>
      </c>
      <c r="D59" s="3"/>
      <c r="E59" s="3"/>
      <c r="F59" s="3"/>
      <c r="G59" s="3"/>
      <c r="H59" s="3"/>
      <c r="I59" s="3"/>
      <c r="J59" s="3"/>
      <c r="L59" s="3"/>
      <c r="M59" s="3"/>
      <c r="N59" s="3"/>
      <c r="O59" s="3"/>
      <c r="P59" s="3"/>
      <c r="Q59" s="3"/>
      <c r="R59" s="3"/>
      <c r="S59" s="3"/>
      <c r="T59" s="3"/>
    </row>
    <row r="60" spans="1:20" x14ac:dyDescent="0.25">
      <c r="A60" s="37" t="s">
        <v>781</v>
      </c>
      <c r="B60" s="3">
        <v>80</v>
      </c>
      <c r="C60" s="73" t="str">
        <f t="shared" si="0"/>
        <v>1E</v>
      </c>
      <c r="D60" s="3" t="s">
        <v>137</v>
      </c>
      <c r="E60" s="3"/>
      <c r="F60" s="3">
        <v>0</v>
      </c>
      <c r="G60" s="3">
        <v>2</v>
      </c>
      <c r="H60" s="3"/>
      <c r="I60" s="3" t="s">
        <v>93</v>
      </c>
      <c r="J60" s="3"/>
      <c r="K60" s="3" t="s">
        <v>500</v>
      </c>
      <c r="L60" s="3"/>
      <c r="M60" s="3"/>
      <c r="N60" s="3"/>
      <c r="O60" s="3"/>
      <c r="P60" s="3"/>
      <c r="Q60" s="3"/>
      <c r="R60" s="3"/>
      <c r="S60" s="3"/>
      <c r="T60" s="3"/>
    </row>
    <row r="61" spans="1:20" x14ac:dyDescent="0.25">
      <c r="A61" s="21" t="s">
        <v>541</v>
      </c>
      <c r="B61" s="3">
        <v>80</v>
      </c>
      <c r="C61" s="73" t="str">
        <f t="shared" si="0"/>
        <v>1F</v>
      </c>
      <c r="D61" s="3" t="s">
        <v>128</v>
      </c>
      <c r="E61" s="3"/>
      <c r="F61" s="3"/>
      <c r="G61" s="3"/>
      <c r="H61" s="3"/>
      <c r="I61" s="3"/>
      <c r="J61" s="3"/>
      <c r="L61" s="3"/>
      <c r="M61" s="3"/>
      <c r="N61" s="3"/>
      <c r="O61" s="3"/>
      <c r="P61" s="3"/>
      <c r="Q61" s="3"/>
      <c r="R61" s="3"/>
      <c r="S61" s="3"/>
      <c r="T61" s="3"/>
    </row>
    <row r="62" spans="1:20" x14ac:dyDescent="0.25">
      <c r="A62" s="21" t="s">
        <v>542</v>
      </c>
      <c r="B62" s="3">
        <v>80</v>
      </c>
      <c r="C62" s="73" t="str">
        <f t="shared" si="0"/>
        <v>20</v>
      </c>
      <c r="D62" s="3"/>
      <c r="E62" s="3"/>
      <c r="F62" s="3"/>
      <c r="G62" s="3"/>
      <c r="H62" s="3"/>
      <c r="I62" s="3"/>
      <c r="J62" s="3"/>
      <c r="L62" s="3"/>
      <c r="M62" s="3"/>
      <c r="N62" s="3"/>
      <c r="O62" s="3"/>
      <c r="P62" s="3"/>
      <c r="Q62" s="3"/>
      <c r="R62" s="3"/>
      <c r="S62" s="3"/>
      <c r="T62" s="3"/>
    </row>
    <row r="63" spans="1:20" x14ac:dyDescent="0.25">
      <c r="A63" s="21" t="s">
        <v>543</v>
      </c>
      <c r="B63" s="3">
        <v>80</v>
      </c>
      <c r="C63" s="73" t="str">
        <f t="shared" si="0"/>
        <v>21</v>
      </c>
      <c r="D63" s="3"/>
      <c r="E63" s="3"/>
      <c r="F63" s="3"/>
      <c r="G63" s="3"/>
      <c r="H63" s="3"/>
      <c r="I63" s="3"/>
      <c r="J63" s="3"/>
      <c r="L63" s="3"/>
      <c r="M63" s="3"/>
      <c r="N63" s="3"/>
      <c r="O63" s="3"/>
      <c r="P63" s="3"/>
      <c r="Q63" s="3"/>
      <c r="R63" s="3"/>
      <c r="S63" s="3"/>
      <c r="T63" s="3"/>
    </row>
    <row r="64" spans="1:20" x14ac:dyDescent="0.25">
      <c r="A64" s="77" t="s">
        <v>771</v>
      </c>
      <c r="B64" s="3">
        <v>80</v>
      </c>
      <c r="C64" s="73" t="str">
        <f t="shared" si="0"/>
        <v>22</v>
      </c>
      <c r="D64" s="3" t="s">
        <v>137</v>
      </c>
      <c r="E64" s="3"/>
      <c r="F64" s="3">
        <v>0</v>
      </c>
      <c r="G64" s="3">
        <v>2</v>
      </c>
      <c r="H64" s="3"/>
      <c r="I64" s="3" t="s">
        <v>93</v>
      </c>
      <c r="J64" s="3"/>
      <c r="K64" s="3" t="s">
        <v>500</v>
      </c>
      <c r="L64" s="3"/>
      <c r="M64" s="3"/>
      <c r="N64" s="3"/>
      <c r="O64" s="3"/>
      <c r="P64" s="3"/>
      <c r="Q64" s="3"/>
      <c r="R64" s="3"/>
      <c r="S64" s="3"/>
      <c r="T64" s="3"/>
    </row>
    <row r="65" spans="1:20" x14ac:dyDescent="0.25">
      <c r="A65" s="21" t="s">
        <v>544</v>
      </c>
      <c r="B65" s="3">
        <v>80</v>
      </c>
      <c r="C65" s="73" t="str">
        <f t="shared" si="0"/>
        <v>23</v>
      </c>
      <c r="D65" s="3" t="s">
        <v>128</v>
      </c>
      <c r="E65" s="3"/>
      <c r="F65" s="3"/>
      <c r="G65" s="3"/>
      <c r="H65" s="3"/>
      <c r="I65" s="3"/>
      <c r="J65" s="3"/>
      <c r="L65" s="3"/>
      <c r="M65" s="3"/>
      <c r="N65" s="3"/>
      <c r="O65" s="3"/>
      <c r="P65" s="3"/>
      <c r="Q65" s="3"/>
      <c r="R65" s="3"/>
      <c r="S65" s="3"/>
      <c r="T65" s="3"/>
    </row>
    <row r="66" spans="1:20" x14ac:dyDescent="0.25">
      <c r="A66" s="21" t="s">
        <v>545</v>
      </c>
      <c r="B66" s="3">
        <v>80</v>
      </c>
      <c r="C66" s="73" t="str">
        <f t="shared" si="0"/>
        <v>24</v>
      </c>
      <c r="D66" s="3"/>
      <c r="E66" s="3"/>
      <c r="F66" s="3"/>
      <c r="G66" s="3"/>
      <c r="H66" s="3"/>
      <c r="I66" s="3"/>
      <c r="J66" s="3"/>
      <c r="L66" s="3"/>
      <c r="M66" s="3"/>
      <c r="N66" s="3"/>
      <c r="O66" s="3"/>
      <c r="P66" s="3"/>
      <c r="Q66" s="3"/>
      <c r="R66" s="3"/>
      <c r="S66" s="3"/>
      <c r="T66" s="3"/>
    </row>
    <row r="67" spans="1:20" x14ac:dyDescent="0.25">
      <c r="A67" s="21" t="s">
        <v>546</v>
      </c>
      <c r="B67" s="3">
        <v>80</v>
      </c>
      <c r="C67" s="73" t="str">
        <f t="shared" si="0"/>
        <v>25</v>
      </c>
      <c r="D67" s="3"/>
      <c r="E67" s="3"/>
      <c r="F67" s="3"/>
      <c r="G67" s="3"/>
      <c r="H67" s="3"/>
      <c r="I67" s="3"/>
      <c r="J67" s="3"/>
      <c r="L67" s="3"/>
      <c r="M67" s="3"/>
      <c r="N67" s="3"/>
      <c r="O67" s="3"/>
      <c r="P67" s="3"/>
      <c r="Q67" s="3"/>
      <c r="R67" s="3"/>
      <c r="S67" s="3"/>
      <c r="T67" s="3"/>
    </row>
    <row r="68" spans="1:20" x14ac:dyDescent="0.25">
      <c r="A68" s="77" t="s">
        <v>771</v>
      </c>
      <c r="B68" s="3">
        <v>80</v>
      </c>
      <c r="C68" s="73" t="str">
        <f t="shared" si="0"/>
        <v>26</v>
      </c>
      <c r="D68" s="3" t="s">
        <v>137</v>
      </c>
      <c r="E68" s="3"/>
      <c r="F68" s="3">
        <v>0</v>
      </c>
      <c r="G68" s="3">
        <v>2</v>
      </c>
      <c r="H68" s="3"/>
      <c r="I68" s="3" t="s">
        <v>93</v>
      </c>
      <c r="J68" s="3"/>
      <c r="K68" s="3" t="s">
        <v>500</v>
      </c>
      <c r="L68" s="3"/>
      <c r="M68" s="3"/>
      <c r="N68" s="3"/>
      <c r="O68" s="3"/>
      <c r="P68" s="3"/>
      <c r="Q68" s="3"/>
      <c r="R68" s="3"/>
      <c r="S68" s="3"/>
      <c r="T68" s="3"/>
    </row>
    <row r="69" spans="1:20" x14ac:dyDescent="0.25">
      <c r="A69" s="21" t="s">
        <v>547</v>
      </c>
      <c r="B69" s="3">
        <v>80</v>
      </c>
      <c r="C69" s="73" t="str">
        <f t="shared" si="0"/>
        <v>27</v>
      </c>
      <c r="D69" s="3" t="s">
        <v>128</v>
      </c>
      <c r="E69" s="3"/>
      <c r="F69" s="3"/>
      <c r="G69" s="3"/>
      <c r="H69" s="3"/>
      <c r="I69" s="3"/>
      <c r="J69" s="3"/>
      <c r="L69" s="3"/>
      <c r="M69" s="3"/>
      <c r="N69" s="3"/>
      <c r="O69" s="3"/>
      <c r="P69" s="3"/>
      <c r="Q69" s="3"/>
      <c r="R69" s="3"/>
      <c r="S69" s="3"/>
      <c r="T69" s="3"/>
    </row>
    <row r="70" spans="1:20" x14ac:dyDescent="0.25">
      <c r="A70" s="21" t="s">
        <v>548</v>
      </c>
      <c r="B70" s="3">
        <v>80</v>
      </c>
      <c r="C70" s="73" t="str">
        <f t="shared" si="0"/>
        <v>28</v>
      </c>
      <c r="D70" s="3"/>
      <c r="E70" s="3"/>
      <c r="F70" s="3"/>
      <c r="G70" s="3"/>
      <c r="H70" s="3"/>
      <c r="I70" s="3"/>
      <c r="J70" s="3"/>
      <c r="L70" s="3"/>
      <c r="M70" s="3"/>
      <c r="N70" s="3"/>
      <c r="O70" s="3"/>
      <c r="P70" s="3"/>
      <c r="Q70" s="3"/>
      <c r="R70" s="3"/>
      <c r="S70" s="3"/>
      <c r="T70" s="3"/>
    </row>
    <row r="71" spans="1:20" x14ac:dyDescent="0.25">
      <c r="A71" s="21" t="s">
        <v>549</v>
      </c>
      <c r="B71" s="3">
        <v>80</v>
      </c>
      <c r="C71" s="73" t="str">
        <f t="shared" si="0"/>
        <v>29</v>
      </c>
      <c r="D71" s="3"/>
      <c r="E71" s="3"/>
      <c r="F71" s="3"/>
      <c r="G71" s="3"/>
      <c r="H71" s="3"/>
      <c r="I71" s="3"/>
      <c r="J71" s="3"/>
      <c r="L71" s="3"/>
      <c r="M71" s="3"/>
      <c r="N71" s="3"/>
      <c r="O71" s="3"/>
      <c r="P71" s="3"/>
      <c r="Q71" s="3"/>
      <c r="R71" s="3"/>
      <c r="S71" s="3"/>
      <c r="T71" s="3"/>
    </row>
    <row r="72" spans="1:20" x14ac:dyDescent="0.25">
      <c r="A72" s="15" t="s">
        <v>829</v>
      </c>
      <c r="B72" s="3">
        <v>80</v>
      </c>
      <c r="C72" s="73" t="str">
        <f t="shared" si="0"/>
        <v>2A</v>
      </c>
      <c r="D72" s="3" t="s">
        <v>128</v>
      </c>
      <c r="F72" s="3">
        <v>0</v>
      </c>
      <c r="G72" s="3">
        <v>6000</v>
      </c>
      <c r="H72" s="3" t="s">
        <v>633</v>
      </c>
      <c r="I72" s="3" t="s">
        <v>87</v>
      </c>
      <c r="K72" s="3" t="s">
        <v>830</v>
      </c>
      <c r="L72" s="3"/>
      <c r="M72" s="3"/>
      <c r="N72" s="3"/>
      <c r="O72" s="3"/>
      <c r="P72" s="3"/>
      <c r="Q72" s="3"/>
      <c r="R72" s="3"/>
      <c r="S72" s="3"/>
      <c r="T72" s="3"/>
    </row>
    <row r="73" spans="1:20" x14ac:dyDescent="0.25">
      <c r="A73" s="42" t="s">
        <v>343</v>
      </c>
      <c r="B73" s="3">
        <v>80</v>
      </c>
      <c r="C73" s="73" t="str">
        <f t="shared" si="0"/>
        <v>2B</v>
      </c>
      <c r="D73" s="3"/>
      <c r="E73" s="3"/>
      <c r="F73" s="3"/>
      <c r="G73" s="3"/>
      <c r="H73" s="3"/>
      <c r="I73" s="3"/>
      <c r="J73" s="3"/>
      <c r="L73" s="3"/>
      <c r="M73" s="3"/>
      <c r="N73" s="3"/>
      <c r="O73" s="3"/>
      <c r="P73" s="3"/>
      <c r="Q73" s="3"/>
      <c r="R73" s="3"/>
      <c r="S73" s="3"/>
      <c r="T73" s="3"/>
    </row>
    <row r="74" spans="1:20" x14ac:dyDescent="0.25">
      <c r="A74" s="42" t="s">
        <v>343</v>
      </c>
      <c r="B74" s="3">
        <v>80</v>
      </c>
      <c r="C74" s="73" t="str">
        <f t="shared" si="0"/>
        <v>2C</v>
      </c>
      <c r="D74" s="3"/>
      <c r="E74" s="3"/>
      <c r="F74" s="3"/>
      <c r="G74" s="3"/>
      <c r="H74" s="3"/>
      <c r="I74" s="3"/>
      <c r="J74" s="3"/>
      <c r="L74" s="3"/>
      <c r="M74" s="3"/>
      <c r="N74" s="3"/>
      <c r="O74" s="3"/>
      <c r="P74" s="3"/>
      <c r="Q74" s="3"/>
      <c r="R74" s="3"/>
      <c r="S74" s="3"/>
      <c r="T74" s="3"/>
    </row>
    <row r="75" spans="1:20" x14ac:dyDescent="0.25">
      <c r="A75" s="42" t="s">
        <v>343</v>
      </c>
      <c r="B75" s="3">
        <v>80</v>
      </c>
      <c r="C75" s="73" t="str">
        <f t="shared" si="0"/>
        <v>2D</v>
      </c>
      <c r="D75" s="3"/>
      <c r="E75" s="3"/>
      <c r="F75" s="3"/>
      <c r="G75" s="3"/>
      <c r="H75" s="3"/>
      <c r="I75" s="3"/>
      <c r="J75" s="3"/>
      <c r="L75" s="3"/>
      <c r="M75" s="3"/>
      <c r="N75" s="3"/>
      <c r="O75" s="3"/>
      <c r="P75" s="3"/>
      <c r="Q75" s="3"/>
      <c r="R75" s="3"/>
      <c r="S75" s="3"/>
      <c r="T75" s="3"/>
    </row>
    <row r="76" spans="1:20" x14ac:dyDescent="0.25">
      <c r="A76" s="42" t="s">
        <v>343</v>
      </c>
      <c r="B76" s="3">
        <v>80</v>
      </c>
      <c r="C76" s="73" t="str">
        <f t="shared" si="0"/>
        <v>2E</v>
      </c>
      <c r="D76" s="3"/>
      <c r="E76" s="3"/>
      <c r="F76" s="3"/>
      <c r="G76" s="3"/>
      <c r="H76" s="3"/>
      <c r="I76" s="3"/>
      <c r="J76" s="3"/>
      <c r="L76" s="3"/>
      <c r="M76" s="3"/>
      <c r="N76" s="3"/>
      <c r="O76" s="3"/>
      <c r="P76" s="3"/>
      <c r="Q76" s="3"/>
      <c r="R76" s="3"/>
      <c r="S76" s="3"/>
      <c r="T76" s="3"/>
    </row>
    <row r="77" spans="1:20" x14ac:dyDescent="0.25">
      <c r="A77" s="42" t="s">
        <v>343</v>
      </c>
      <c r="B77" s="3">
        <v>80</v>
      </c>
      <c r="C77" s="73" t="str">
        <f t="shared" si="0"/>
        <v>2F</v>
      </c>
      <c r="D77" s="3"/>
      <c r="E77" s="3"/>
      <c r="F77" s="3"/>
      <c r="G77" s="3"/>
      <c r="H77" s="3"/>
      <c r="I77" s="3"/>
      <c r="J77" s="3"/>
      <c r="L77" s="3"/>
      <c r="M77" s="3"/>
      <c r="N77" s="3"/>
      <c r="O77" s="3"/>
      <c r="P77" s="3"/>
      <c r="Q77" s="3"/>
      <c r="R77" s="3"/>
      <c r="S77" s="3"/>
      <c r="T77" s="3"/>
    </row>
    <row r="78" spans="1:20" x14ac:dyDescent="0.25">
      <c r="A78" s="42" t="s">
        <v>343</v>
      </c>
      <c r="B78" s="3">
        <v>80</v>
      </c>
      <c r="C78" s="73" t="str">
        <f t="shared" si="0"/>
        <v>30</v>
      </c>
      <c r="D78" s="3"/>
      <c r="E78" s="3"/>
      <c r="F78" s="3"/>
      <c r="G78" s="3"/>
      <c r="H78" s="3"/>
      <c r="I78" s="3"/>
      <c r="J78" s="3"/>
      <c r="L78" s="3"/>
      <c r="M78" s="3"/>
      <c r="N78" s="3"/>
      <c r="O78" s="3"/>
      <c r="P78" s="3"/>
      <c r="Q78" s="3"/>
      <c r="R78" s="3"/>
      <c r="S78" s="3"/>
      <c r="T78" s="3"/>
    </row>
    <row r="79" spans="1:20" x14ac:dyDescent="0.25">
      <c r="A79" s="42" t="s">
        <v>343</v>
      </c>
      <c r="B79" s="3">
        <v>80</v>
      </c>
      <c r="C79" s="73" t="str">
        <f t="shared" si="0"/>
        <v>31</v>
      </c>
      <c r="D79" s="3"/>
      <c r="E79" s="3"/>
      <c r="F79" s="3"/>
      <c r="G79" s="3"/>
      <c r="H79" s="3"/>
      <c r="I79" s="3"/>
      <c r="J79" s="3"/>
      <c r="L79" s="3"/>
      <c r="M79" s="3"/>
      <c r="N79" s="3"/>
      <c r="O79" s="3"/>
      <c r="P79" s="3"/>
      <c r="Q79" s="3"/>
      <c r="R79" s="3"/>
      <c r="S79" s="3"/>
      <c r="T79" s="3"/>
    </row>
    <row r="80" spans="1:20" x14ac:dyDescent="0.25">
      <c r="A80" s="42" t="s">
        <v>343</v>
      </c>
      <c r="B80" s="3">
        <v>80</v>
      </c>
      <c r="C80" s="73" t="str">
        <f t="shared" si="0"/>
        <v>32</v>
      </c>
      <c r="D80" s="3"/>
      <c r="E80" s="3"/>
      <c r="F80" s="3"/>
      <c r="G80" s="3"/>
      <c r="H80" s="3"/>
      <c r="I80" s="3"/>
      <c r="J80" s="3"/>
      <c r="L80" s="3"/>
      <c r="M80" s="3"/>
      <c r="N80" s="3"/>
      <c r="O80" s="3"/>
      <c r="P80" s="3"/>
      <c r="Q80" s="3"/>
      <c r="R80" s="3"/>
      <c r="S80" s="3"/>
      <c r="T80" s="3"/>
    </row>
    <row r="81" spans="1:20" x14ac:dyDescent="0.25">
      <c r="A81" s="42" t="s">
        <v>343</v>
      </c>
      <c r="B81" s="3">
        <v>80</v>
      </c>
      <c r="C81" s="73" t="str">
        <f t="shared" si="0"/>
        <v>33</v>
      </c>
      <c r="D81" s="3"/>
      <c r="E81" s="3"/>
      <c r="F81" s="3"/>
      <c r="G81" s="3"/>
      <c r="H81" s="3"/>
      <c r="I81" s="3"/>
      <c r="J81" s="3"/>
      <c r="L81" s="3"/>
      <c r="M81" s="3"/>
      <c r="N81" s="3"/>
      <c r="O81" s="3"/>
      <c r="P81" s="3"/>
      <c r="Q81" s="3"/>
      <c r="R81" s="3"/>
      <c r="S81" s="3"/>
      <c r="T81" s="3"/>
    </row>
    <row r="82" spans="1:20" x14ac:dyDescent="0.25">
      <c r="A82" s="42" t="s">
        <v>343</v>
      </c>
      <c r="B82" s="3">
        <v>80</v>
      </c>
      <c r="C82" s="73" t="str">
        <f t="shared" si="0"/>
        <v>34</v>
      </c>
      <c r="D82" s="3"/>
      <c r="E82" s="3"/>
      <c r="F82" s="3"/>
      <c r="G82" s="3"/>
      <c r="H82" s="3"/>
      <c r="I82" s="3"/>
      <c r="J82" s="3"/>
      <c r="L82" s="3"/>
      <c r="M82" s="3"/>
      <c r="N82" s="3"/>
      <c r="O82" s="3"/>
      <c r="P82" s="3"/>
      <c r="Q82" s="3"/>
      <c r="R82" s="3"/>
      <c r="S82" s="3"/>
      <c r="T82" s="3"/>
    </row>
    <row r="83" spans="1:20" x14ac:dyDescent="0.25">
      <c r="A83" s="42" t="s">
        <v>343</v>
      </c>
      <c r="B83" s="3">
        <v>80</v>
      </c>
      <c r="C83" s="73" t="str">
        <f t="shared" si="0"/>
        <v>35</v>
      </c>
      <c r="D83" s="3"/>
      <c r="E83" s="3"/>
      <c r="F83" s="3"/>
      <c r="G83" s="3"/>
      <c r="H83" s="3"/>
      <c r="I83" s="3"/>
      <c r="J83" s="3"/>
      <c r="L83" s="3"/>
      <c r="M83" s="3"/>
      <c r="N83" s="3"/>
      <c r="O83" s="3"/>
      <c r="P83" s="3"/>
      <c r="Q83" s="3"/>
      <c r="R83" s="3"/>
      <c r="S83" s="3"/>
      <c r="T83" s="3"/>
    </row>
    <row r="84" spans="1:20" x14ac:dyDescent="0.25">
      <c r="A84" s="42" t="s">
        <v>343</v>
      </c>
      <c r="B84" s="3">
        <v>80</v>
      </c>
      <c r="C84" s="73" t="str">
        <f t="shared" si="0"/>
        <v>36</v>
      </c>
      <c r="D84" s="3"/>
      <c r="E84" s="3"/>
      <c r="F84" s="3"/>
      <c r="G84" s="3"/>
      <c r="H84" s="3"/>
      <c r="I84" s="3"/>
      <c r="J84" s="3"/>
      <c r="L84" s="3"/>
      <c r="M84" s="3"/>
      <c r="N84" s="3"/>
      <c r="O84" s="3"/>
      <c r="P84" s="3"/>
      <c r="Q84" s="3"/>
      <c r="R84" s="3"/>
      <c r="S84" s="3"/>
      <c r="T84" s="3"/>
    </row>
    <row r="85" spans="1:20" x14ac:dyDescent="0.25">
      <c r="A85" s="42" t="s">
        <v>343</v>
      </c>
      <c r="B85" s="3">
        <v>80</v>
      </c>
      <c r="C85" s="73" t="str">
        <f t="shared" si="0"/>
        <v>37</v>
      </c>
      <c r="D85" s="3"/>
      <c r="E85" s="3"/>
      <c r="F85" s="3"/>
      <c r="G85" s="3"/>
      <c r="H85" s="3"/>
      <c r="I85" s="3"/>
      <c r="J85" s="3"/>
      <c r="L85" s="3"/>
      <c r="M85" s="3"/>
      <c r="N85" s="3"/>
      <c r="O85" s="3"/>
      <c r="P85" s="3"/>
      <c r="Q85" s="3"/>
      <c r="R85" s="3"/>
      <c r="S85" s="3"/>
      <c r="T85" s="3"/>
    </row>
    <row r="86" spans="1:20" x14ac:dyDescent="0.25">
      <c r="A86" s="42" t="s">
        <v>343</v>
      </c>
      <c r="B86" s="3">
        <v>80</v>
      </c>
      <c r="C86" s="73" t="str">
        <f t="shared" si="0"/>
        <v>38</v>
      </c>
      <c r="D86" s="3"/>
      <c r="E86" s="3"/>
      <c r="F86" s="3"/>
      <c r="G86" s="3"/>
      <c r="H86" s="3"/>
      <c r="I86" s="3"/>
      <c r="J86" s="3"/>
      <c r="L86" s="3"/>
      <c r="M86" s="3"/>
      <c r="N86" s="3"/>
      <c r="O86" s="3"/>
      <c r="P86" s="3"/>
      <c r="Q86" s="3"/>
      <c r="R86" s="3"/>
      <c r="S86" s="3"/>
      <c r="T86" s="3"/>
    </row>
    <row r="87" spans="1:20" x14ac:dyDescent="0.25">
      <c r="A87" s="42" t="s">
        <v>343</v>
      </c>
      <c r="B87" s="3">
        <v>80</v>
      </c>
      <c r="C87" s="73" t="str">
        <f t="shared" si="0"/>
        <v>39</v>
      </c>
      <c r="D87" s="3"/>
      <c r="E87" s="3"/>
      <c r="F87" s="3"/>
      <c r="G87" s="3"/>
      <c r="H87" s="3"/>
      <c r="I87" s="3"/>
      <c r="J87" s="3"/>
      <c r="L87" s="3"/>
      <c r="M87" s="3"/>
      <c r="N87" s="3"/>
      <c r="O87" s="3"/>
      <c r="P87" s="3"/>
      <c r="Q87" s="3"/>
      <c r="R87" s="3"/>
      <c r="S87" s="3"/>
      <c r="T87" s="3"/>
    </row>
    <row r="88" spans="1:20" x14ac:dyDescent="0.25">
      <c r="A88" s="42" t="s">
        <v>343</v>
      </c>
      <c r="B88" s="3">
        <v>80</v>
      </c>
      <c r="C88" s="73" t="str">
        <f t="shared" si="0"/>
        <v>3A</v>
      </c>
      <c r="D88" s="3"/>
      <c r="E88" s="3"/>
      <c r="F88" s="3"/>
      <c r="G88" s="3"/>
      <c r="H88" s="3"/>
      <c r="I88" s="3"/>
      <c r="J88" s="3"/>
      <c r="L88" s="3"/>
      <c r="M88" s="3"/>
      <c r="N88" s="3"/>
      <c r="O88" s="3"/>
      <c r="P88" s="3"/>
      <c r="Q88" s="3"/>
      <c r="R88" s="3"/>
      <c r="S88" s="3"/>
      <c r="T88" s="3"/>
    </row>
    <row r="89" spans="1:20" x14ac:dyDescent="0.25">
      <c r="A89" s="42" t="s">
        <v>343</v>
      </c>
      <c r="B89" s="3">
        <v>80</v>
      </c>
      <c r="C89" s="73" t="str">
        <f t="shared" si="0"/>
        <v>3B</v>
      </c>
      <c r="D89" s="3"/>
      <c r="E89" s="3"/>
      <c r="F89" s="3"/>
      <c r="G89" s="3"/>
      <c r="H89" s="3"/>
      <c r="I89" s="3"/>
      <c r="J89" s="3"/>
      <c r="L89" s="3"/>
      <c r="M89" s="3"/>
      <c r="N89" s="3"/>
      <c r="O89" s="3"/>
      <c r="P89" s="3"/>
      <c r="Q89" s="3"/>
      <c r="R89" s="3"/>
      <c r="S89" s="3"/>
      <c r="T89" s="3"/>
    </row>
    <row r="90" spans="1:20" x14ac:dyDescent="0.25">
      <c r="A90" s="42" t="s">
        <v>343</v>
      </c>
      <c r="B90" s="3">
        <v>80</v>
      </c>
      <c r="C90" s="73" t="str">
        <f t="shared" si="0"/>
        <v>3C</v>
      </c>
      <c r="D90" s="3"/>
      <c r="E90" s="3"/>
      <c r="F90" s="3"/>
      <c r="G90" s="3"/>
      <c r="H90" s="3"/>
      <c r="I90" s="3"/>
      <c r="J90" s="3"/>
      <c r="L90" s="3"/>
      <c r="M90" s="3"/>
      <c r="N90" s="3"/>
      <c r="O90" s="3"/>
      <c r="P90" s="3"/>
      <c r="Q90" s="3"/>
      <c r="R90" s="3"/>
      <c r="S90" s="3"/>
      <c r="T90" s="3"/>
    </row>
    <row r="91" spans="1:20" x14ac:dyDescent="0.25">
      <c r="A91" s="42" t="s">
        <v>343</v>
      </c>
      <c r="B91" s="3">
        <v>80</v>
      </c>
      <c r="C91" s="73" t="str">
        <f t="shared" si="0"/>
        <v>3D</v>
      </c>
      <c r="D91" s="3"/>
      <c r="E91" s="3"/>
      <c r="F91" s="3"/>
      <c r="G91" s="3"/>
      <c r="H91" s="3"/>
      <c r="I91" s="3"/>
      <c r="J91" s="3"/>
      <c r="L91" s="3"/>
      <c r="M91" s="3"/>
      <c r="N91" s="3"/>
      <c r="O91" s="3"/>
      <c r="P91" s="3"/>
      <c r="Q91" s="3"/>
      <c r="R91" s="3"/>
      <c r="S91" s="3"/>
      <c r="T91" s="3"/>
    </row>
    <row r="92" spans="1:20" x14ac:dyDescent="0.25">
      <c r="A92" s="42" t="s">
        <v>343</v>
      </c>
      <c r="B92" s="3">
        <v>80</v>
      </c>
      <c r="C92" s="73" t="str">
        <f t="shared" si="0"/>
        <v>3E</v>
      </c>
      <c r="D92" s="3"/>
      <c r="E92" s="3"/>
      <c r="F92" s="3"/>
      <c r="G92" s="3"/>
      <c r="H92" s="3"/>
      <c r="I92" s="3"/>
      <c r="J92" s="3"/>
      <c r="L92" s="3"/>
      <c r="M92" s="3"/>
      <c r="N92" s="3"/>
      <c r="O92" s="3"/>
      <c r="P92" s="3"/>
      <c r="Q92" s="3"/>
      <c r="R92" s="3"/>
      <c r="S92" s="3"/>
      <c r="T92" s="3"/>
    </row>
    <row r="93" spans="1:20" x14ac:dyDescent="0.25">
      <c r="A93" s="42" t="s">
        <v>343</v>
      </c>
      <c r="B93" s="3">
        <v>80</v>
      </c>
      <c r="C93" s="73" t="str">
        <f t="shared" si="0"/>
        <v>3F</v>
      </c>
      <c r="D93" s="3"/>
      <c r="E93" s="3"/>
      <c r="F93" s="3"/>
      <c r="G93" s="3"/>
      <c r="H93" s="3"/>
      <c r="I93" s="3"/>
      <c r="J93" s="3"/>
      <c r="L93" s="3"/>
      <c r="M93" s="3"/>
      <c r="N93" s="3"/>
      <c r="O93" s="3"/>
      <c r="P93" s="3"/>
      <c r="Q93" s="3"/>
      <c r="R93" s="3"/>
      <c r="S93" s="3"/>
      <c r="T93" s="3"/>
    </row>
    <row r="94" spans="1:20" x14ac:dyDescent="0.25">
      <c r="A94" s="42" t="s">
        <v>343</v>
      </c>
      <c r="B94" s="3">
        <v>80</v>
      </c>
      <c r="C94" s="73" t="str">
        <f t="shared" si="0"/>
        <v>40</v>
      </c>
      <c r="D94" s="3"/>
      <c r="E94" s="3"/>
      <c r="F94" s="3"/>
      <c r="G94" s="3"/>
      <c r="H94" s="3"/>
      <c r="I94" s="3"/>
      <c r="J94" s="3"/>
      <c r="L94" s="3"/>
      <c r="M94" s="3"/>
      <c r="N94" s="3"/>
      <c r="O94" s="3"/>
      <c r="P94" s="3"/>
      <c r="Q94" s="3"/>
      <c r="R94" s="3"/>
      <c r="S94" s="3"/>
      <c r="T94" s="3"/>
    </row>
    <row r="95" spans="1:20" x14ac:dyDescent="0.25">
      <c r="A95" s="42" t="s">
        <v>343</v>
      </c>
      <c r="B95" s="3">
        <v>80</v>
      </c>
      <c r="C95" s="73" t="str">
        <f t="shared" si="0"/>
        <v>41</v>
      </c>
      <c r="D95" s="3"/>
      <c r="E95" s="3"/>
      <c r="F95" s="3"/>
      <c r="G95" s="3"/>
      <c r="H95" s="3"/>
      <c r="I95" s="3"/>
      <c r="J95" s="3"/>
      <c r="L95" s="3"/>
      <c r="M95" s="3"/>
      <c r="N95" s="3"/>
      <c r="O95" s="3"/>
      <c r="P95" s="3"/>
      <c r="Q95" s="3"/>
      <c r="R95" s="3"/>
      <c r="S95" s="3"/>
      <c r="T95" s="3"/>
    </row>
    <row r="96" spans="1:20" x14ac:dyDescent="0.25">
      <c r="A96" s="50" t="s">
        <v>167</v>
      </c>
      <c r="B96" s="3">
        <v>80</v>
      </c>
      <c r="C96" s="73" t="str">
        <f t="shared" ref="C96:C158" si="1">DEC2HEX(HEX2DEC(C95)+1)</f>
        <v>42</v>
      </c>
      <c r="D96" s="3" t="s">
        <v>240</v>
      </c>
      <c r="E96" s="3"/>
      <c r="F96" s="3"/>
      <c r="G96" s="3"/>
      <c r="H96" s="3"/>
      <c r="I96" s="3"/>
      <c r="J96" s="3"/>
      <c r="L96" s="3"/>
      <c r="M96" s="3"/>
      <c r="N96" s="3"/>
      <c r="O96" s="3"/>
      <c r="P96" s="3"/>
      <c r="Q96" s="3"/>
      <c r="R96" s="3"/>
      <c r="S96" s="3"/>
      <c r="T96" s="3"/>
    </row>
    <row r="97" spans="1:20" x14ac:dyDescent="0.25">
      <c r="A97" s="37" t="s">
        <v>574</v>
      </c>
      <c r="B97" s="3">
        <v>80</v>
      </c>
      <c r="C97" s="73" t="str">
        <f t="shared" si="1"/>
        <v>43</v>
      </c>
      <c r="D97" s="3" t="s">
        <v>137</v>
      </c>
      <c r="E97" s="3"/>
      <c r="F97" s="3">
        <v>0</v>
      </c>
      <c r="G97" s="3">
        <v>7</v>
      </c>
      <c r="H97" s="3"/>
      <c r="I97" s="3" t="s">
        <v>93</v>
      </c>
      <c r="J97" s="3"/>
      <c r="K97" s="3" t="s">
        <v>581</v>
      </c>
      <c r="L97" s="3"/>
      <c r="M97" s="3"/>
      <c r="N97" s="3"/>
      <c r="O97" s="3"/>
      <c r="P97" s="3"/>
      <c r="Q97" s="3"/>
      <c r="R97" s="3"/>
      <c r="S97" s="3"/>
      <c r="T97" s="3"/>
    </row>
    <row r="98" spans="1:20" x14ac:dyDescent="0.25">
      <c r="A98" s="43" t="s">
        <v>568</v>
      </c>
      <c r="B98" s="3">
        <v>80</v>
      </c>
      <c r="C98" s="73" t="str">
        <f t="shared" si="1"/>
        <v>44</v>
      </c>
      <c r="D98" s="3"/>
      <c r="E98" s="3"/>
      <c r="F98" s="3"/>
      <c r="G98" s="3"/>
      <c r="H98" s="3"/>
      <c r="I98" s="3"/>
      <c r="J98" s="3" t="s">
        <v>479</v>
      </c>
      <c r="L98" s="3"/>
      <c r="M98" s="3"/>
      <c r="N98" s="3"/>
      <c r="O98" s="3"/>
      <c r="P98" s="3"/>
      <c r="Q98" s="3"/>
      <c r="R98" s="3"/>
      <c r="S98" s="3"/>
      <c r="T98" s="3"/>
    </row>
    <row r="99" spans="1:20" x14ac:dyDescent="0.25">
      <c r="A99" s="43" t="s">
        <v>531</v>
      </c>
      <c r="B99" s="3">
        <v>80</v>
      </c>
      <c r="C99" s="73" t="str">
        <f t="shared" si="1"/>
        <v>45</v>
      </c>
      <c r="D99" s="3"/>
      <c r="E99" s="3"/>
      <c r="F99" s="3"/>
      <c r="G99" s="3"/>
      <c r="H99" s="3"/>
      <c r="I99" s="3"/>
      <c r="J99" s="3" t="s">
        <v>479</v>
      </c>
      <c r="L99" s="3"/>
      <c r="M99" s="3"/>
      <c r="N99" s="3"/>
      <c r="O99" s="3"/>
      <c r="P99" s="3"/>
      <c r="Q99" s="3"/>
      <c r="R99" s="3"/>
      <c r="S99" s="3"/>
      <c r="T99" s="3"/>
    </row>
    <row r="100" spans="1:20" x14ac:dyDescent="0.25">
      <c r="A100" s="43" t="s">
        <v>532</v>
      </c>
      <c r="B100" s="3">
        <v>80</v>
      </c>
      <c r="C100" s="73" t="str">
        <f t="shared" si="1"/>
        <v>46</v>
      </c>
      <c r="D100" s="3"/>
      <c r="E100" s="3"/>
      <c r="F100" s="3"/>
      <c r="G100" s="3"/>
      <c r="H100" s="3"/>
      <c r="I100" s="3"/>
      <c r="J100" s="3" t="s">
        <v>479</v>
      </c>
      <c r="L100" s="3"/>
      <c r="M100" s="3"/>
      <c r="N100" s="3"/>
      <c r="O100" s="3"/>
      <c r="P100" s="3"/>
      <c r="Q100" s="3"/>
      <c r="R100" s="3"/>
      <c r="S100" s="3"/>
      <c r="T100" s="3"/>
    </row>
    <row r="101" spans="1:20" x14ac:dyDescent="0.25">
      <c r="A101" s="43" t="s">
        <v>533</v>
      </c>
      <c r="B101" s="3">
        <v>80</v>
      </c>
      <c r="C101" s="73" t="str">
        <f t="shared" si="1"/>
        <v>47</v>
      </c>
      <c r="D101" s="3"/>
      <c r="E101" s="3"/>
      <c r="F101" s="3"/>
      <c r="G101" s="3"/>
      <c r="H101" s="3"/>
      <c r="I101" s="3"/>
      <c r="J101" s="3" t="s">
        <v>479</v>
      </c>
      <c r="L101" s="3"/>
      <c r="M101" s="3"/>
      <c r="N101" s="3"/>
      <c r="O101" s="3"/>
      <c r="P101" s="3"/>
      <c r="Q101" s="3"/>
      <c r="R101" s="3"/>
      <c r="S101" s="3"/>
      <c r="T101" s="3"/>
    </row>
    <row r="102" spans="1:20" x14ac:dyDescent="0.25">
      <c r="A102" s="43" t="s">
        <v>534</v>
      </c>
      <c r="B102" s="3">
        <v>80</v>
      </c>
      <c r="C102" s="73" t="str">
        <f t="shared" si="1"/>
        <v>48</v>
      </c>
      <c r="D102" s="3"/>
      <c r="E102" s="3"/>
      <c r="F102" s="3"/>
      <c r="G102" s="3"/>
      <c r="H102" s="3"/>
      <c r="I102" s="3"/>
      <c r="J102" s="3" t="s">
        <v>479</v>
      </c>
      <c r="L102" s="3"/>
      <c r="M102" s="3"/>
      <c r="N102" s="3"/>
      <c r="O102" s="3"/>
      <c r="P102" s="3"/>
      <c r="Q102" s="3"/>
      <c r="R102" s="3"/>
      <c r="S102" s="3"/>
      <c r="T102" s="3"/>
    </row>
    <row r="103" spans="1:20" x14ac:dyDescent="0.25">
      <c r="A103" s="43" t="s">
        <v>535</v>
      </c>
      <c r="B103" s="3">
        <v>80</v>
      </c>
      <c r="C103" s="73" t="str">
        <f t="shared" si="1"/>
        <v>49</v>
      </c>
      <c r="D103" s="3"/>
      <c r="E103" s="3"/>
      <c r="F103" s="3"/>
      <c r="G103" s="3"/>
      <c r="H103" s="3"/>
      <c r="I103" s="3"/>
      <c r="J103" s="3" t="s">
        <v>479</v>
      </c>
      <c r="L103" s="3"/>
      <c r="M103" s="3"/>
      <c r="N103" s="3"/>
      <c r="O103" s="3"/>
      <c r="P103" s="3"/>
      <c r="Q103" s="3"/>
      <c r="R103" s="3"/>
      <c r="S103" s="3"/>
      <c r="T103" s="3"/>
    </row>
    <row r="104" spans="1:20" x14ac:dyDescent="0.25">
      <c r="A104" s="43" t="s">
        <v>536</v>
      </c>
      <c r="B104" s="3">
        <v>80</v>
      </c>
      <c r="C104" s="73" t="str">
        <f t="shared" si="1"/>
        <v>4A</v>
      </c>
      <c r="D104" s="3"/>
      <c r="E104" s="3"/>
      <c r="F104" s="3"/>
      <c r="G104" s="3"/>
      <c r="H104" s="3"/>
      <c r="I104" s="3"/>
      <c r="J104" s="3" t="s">
        <v>479</v>
      </c>
      <c r="L104" s="3"/>
      <c r="M104" s="3"/>
      <c r="N104" s="3"/>
      <c r="O104" s="3"/>
      <c r="P104" s="3"/>
      <c r="Q104" s="3"/>
      <c r="R104" s="3"/>
      <c r="S104" s="3"/>
      <c r="T104" s="3"/>
    </row>
    <row r="105" spans="1:20" x14ac:dyDescent="0.25">
      <c r="A105" s="43" t="s">
        <v>537</v>
      </c>
      <c r="B105" s="3">
        <v>80</v>
      </c>
      <c r="C105" s="73" t="str">
        <f t="shared" si="1"/>
        <v>4B</v>
      </c>
      <c r="D105" s="3"/>
      <c r="E105" s="3"/>
      <c r="F105" s="3"/>
      <c r="G105" s="3"/>
      <c r="H105" s="3"/>
      <c r="I105" s="3"/>
      <c r="J105" s="3" t="s">
        <v>479</v>
      </c>
      <c r="L105" s="3"/>
      <c r="M105" s="3"/>
      <c r="N105" s="3"/>
      <c r="O105" s="3"/>
      <c r="P105" s="3"/>
      <c r="Q105" s="3"/>
      <c r="R105" s="3"/>
      <c r="S105" s="3"/>
      <c r="T105" s="3"/>
    </row>
    <row r="106" spans="1:20" x14ac:dyDescent="0.25">
      <c r="A106" s="43" t="s">
        <v>538</v>
      </c>
      <c r="B106" s="3">
        <v>80</v>
      </c>
      <c r="C106" s="73" t="str">
        <f t="shared" si="1"/>
        <v>4C</v>
      </c>
      <c r="D106" s="3"/>
      <c r="E106" s="3"/>
      <c r="F106" s="3"/>
      <c r="G106" s="3"/>
      <c r="H106" s="3"/>
      <c r="I106" s="3"/>
      <c r="J106" s="3" t="s">
        <v>479</v>
      </c>
      <c r="L106" s="3"/>
      <c r="M106" s="3"/>
      <c r="N106" s="3"/>
      <c r="O106" s="3"/>
      <c r="P106" s="3"/>
      <c r="Q106" s="3"/>
      <c r="R106" s="3"/>
      <c r="S106" s="3"/>
      <c r="T106" s="3"/>
    </row>
    <row r="107" spans="1:20" x14ac:dyDescent="0.25">
      <c r="A107" s="54" t="s">
        <v>539</v>
      </c>
      <c r="B107" s="3">
        <v>80</v>
      </c>
      <c r="C107" s="73" t="str">
        <f t="shared" si="1"/>
        <v>4D</v>
      </c>
      <c r="D107" s="3"/>
      <c r="E107" s="3"/>
      <c r="F107" s="3"/>
      <c r="G107" s="3"/>
      <c r="H107" s="3"/>
      <c r="I107" s="3"/>
      <c r="J107" s="3" t="s">
        <v>479</v>
      </c>
      <c r="L107" s="3"/>
      <c r="M107" s="3"/>
      <c r="N107" s="3"/>
      <c r="O107" s="3"/>
      <c r="P107" s="3"/>
      <c r="Q107" s="3"/>
      <c r="R107" s="3"/>
      <c r="S107" s="3"/>
      <c r="T107" s="3"/>
    </row>
    <row r="108" spans="1:20" x14ac:dyDescent="0.25">
      <c r="A108" s="54" t="s">
        <v>540</v>
      </c>
      <c r="B108" s="3">
        <v>80</v>
      </c>
      <c r="C108" s="73" t="str">
        <f t="shared" si="1"/>
        <v>4E</v>
      </c>
      <c r="D108" s="3"/>
      <c r="E108" s="3"/>
      <c r="F108" s="3"/>
      <c r="G108" s="3"/>
      <c r="H108" s="3"/>
      <c r="I108" s="3"/>
      <c r="J108" s="3" t="s">
        <v>479</v>
      </c>
      <c r="L108" s="3"/>
      <c r="M108" s="3"/>
      <c r="N108" s="3"/>
      <c r="O108" s="3"/>
      <c r="P108" s="3"/>
      <c r="Q108" s="3"/>
      <c r="R108" s="3"/>
      <c r="S108" s="3"/>
      <c r="T108" s="3"/>
    </row>
    <row r="109" spans="1:20" x14ac:dyDescent="0.25">
      <c r="A109" s="42" t="s">
        <v>343</v>
      </c>
      <c r="B109" s="3">
        <v>80</v>
      </c>
      <c r="C109" s="73" t="str">
        <f t="shared" si="1"/>
        <v>4F</v>
      </c>
      <c r="D109" s="3" t="s">
        <v>140</v>
      </c>
      <c r="E109" s="3"/>
      <c r="F109" s="3">
        <v>0</v>
      </c>
      <c r="G109" s="3">
        <v>1</v>
      </c>
      <c r="H109" s="3"/>
      <c r="I109" s="3" t="s">
        <v>87</v>
      </c>
      <c r="J109" s="3"/>
      <c r="K109" s="3" t="s">
        <v>641</v>
      </c>
      <c r="L109" s="3"/>
      <c r="M109" s="3"/>
      <c r="N109" s="3"/>
      <c r="O109" s="3"/>
      <c r="P109" s="3"/>
      <c r="Q109" s="3"/>
      <c r="R109" s="3"/>
      <c r="S109" s="3"/>
      <c r="T109" s="3"/>
    </row>
    <row r="110" spans="1:20" x14ac:dyDescent="0.25">
      <c r="A110" s="54" t="s">
        <v>375</v>
      </c>
      <c r="B110" s="3">
        <v>80</v>
      </c>
      <c r="C110" s="73" t="str">
        <f t="shared" si="1"/>
        <v>50</v>
      </c>
      <c r="D110" s="3"/>
      <c r="E110" s="3"/>
      <c r="F110" s="3"/>
      <c r="G110" s="3"/>
      <c r="H110" s="3"/>
      <c r="I110" s="3"/>
      <c r="J110" s="3" t="s">
        <v>479</v>
      </c>
      <c r="L110" s="3"/>
      <c r="M110" s="3"/>
      <c r="N110" s="3"/>
      <c r="O110" s="3"/>
      <c r="P110" s="3"/>
      <c r="Q110" s="3"/>
      <c r="R110" s="3"/>
      <c r="S110" s="3"/>
      <c r="T110" s="3"/>
    </row>
    <row r="111" spans="1:20" x14ac:dyDescent="0.25">
      <c r="A111" s="54" t="s">
        <v>376</v>
      </c>
      <c r="B111" s="3">
        <v>80</v>
      </c>
      <c r="C111" s="73" t="str">
        <f t="shared" si="1"/>
        <v>51</v>
      </c>
      <c r="D111" s="3"/>
      <c r="E111" s="3"/>
      <c r="F111" s="3"/>
      <c r="G111" s="3"/>
      <c r="H111" s="3"/>
      <c r="I111" s="3"/>
      <c r="J111" s="3" t="s">
        <v>479</v>
      </c>
      <c r="L111" s="3"/>
      <c r="M111" s="3"/>
      <c r="N111" s="3"/>
      <c r="O111" s="3"/>
      <c r="P111" s="3"/>
      <c r="Q111" s="3"/>
      <c r="R111" s="3"/>
      <c r="S111" s="3"/>
      <c r="T111" s="3"/>
    </row>
    <row r="112" spans="1:20" x14ac:dyDescent="0.25">
      <c r="A112" s="54" t="s">
        <v>377</v>
      </c>
      <c r="B112" s="3">
        <v>80</v>
      </c>
      <c r="C112" s="73" t="str">
        <f t="shared" si="1"/>
        <v>52</v>
      </c>
      <c r="D112" s="3"/>
      <c r="E112" s="3"/>
      <c r="F112" s="3"/>
      <c r="G112" s="3"/>
      <c r="H112" s="3"/>
      <c r="I112" s="3"/>
      <c r="J112" s="3" t="s">
        <v>479</v>
      </c>
      <c r="L112" s="3"/>
      <c r="M112" s="3"/>
      <c r="N112" s="3"/>
      <c r="O112" s="3"/>
      <c r="P112" s="3"/>
      <c r="Q112" s="3"/>
      <c r="R112" s="3"/>
      <c r="S112" s="3"/>
      <c r="T112" s="3"/>
    </row>
    <row r="113" spans="1:20" x14ac:dyDescent="0.25">
      <c r="A113" s="54" t="s">
        <v>378</v>
      </c>
      <c r="B113" s="3">
        <v>80</v>
      </c>
      <c r="C113" s="73" t="str">
        <f t="shared" si="1"/>
        <v>53</v>
      </c>
      <c r="D113" s="3"/>
      <c r="E113" s="3"/>
      <c r="F113" s="3"/>
      <c r="G113" s="3"/>
      <c r="H113" s="3"/>
      <c r="I113" s="3"/>
      <c r="J113" s="3" t="s">
        <v>479</v>
      </c>
      <c r="L113" s="3"/>
      <c r="M113" s="3"/>
      <c r="N113" s="3"/>
      <c r="O113" s="3"/>
      <c r="P113" s="3"/>
      <c r="Q113" s="3"/>
      <c r="R113" s="3"/>
      <c r="S113" s="3"/>
      <c r="T113" s="3"/>
    </row>
    <row r="114" spans="1:20" x14ac:dyDescent="0.25">
      <c r="A114" s="42" t="s">
        <v>343</v>
      </c>
      <c r="B114" s="3">
        <v>80</v>
      </c>
      <c r="C114" s="73" t="str">
        <f t="shared" si="1"/>
        <v>54</v>
      </c>
      <c r="D114" s="3"/>
      <c r="E114" s="3"/>
      <c r="F114" s="3"/>
      <c r="G114" s="3"/>
      <c r="H114" s="3"/>
      <c r="I114" s="3"/>
      <c r="J114" s="3"/>
      <c r="L114" s="3"/>
      <c r="M114" s="3"/>
    </row>
    <row r="115" spans="1:20" x14ac:dyDescent="0.25">
      <c r="A115" s="37" t="s">
        <v>642</v>
      </c>
      <c r="B115" s="3">
        <v>80</v>
      </c>
      <c r="C115" s="73" t="str">
        <f t="shared" si="1"/>
        <v>55</v>
      </c>
      <c r="D115" s="3" t="s">
        <v>240</v>
      </c>
      <c r="E115" s="3"/>
      <c r="F115" s="3">
        <v>0</v>
      </c>
      <c r="G115" s="3">
        <v>32767</v>
      </c>
      <c r="H115" s="3" t="s">
        <v>633</v>
      </c>
      <c r="I115" s="3" t="s">
        <v>93</v>
      </c>
      <c r="J115" s="3"/>
      <c r="L115" s="3"/>
      <c r="M115" s="3"/>
      <c r="N115" s="3"/>
      <c r="O115" s="3"/>
      <c r="P115" s="3"/>
      <c r="Q115" s="3"/>
      <c r="R115" s="3"/>
      <c r="S115" s="3"/>
      <c r="T115" s="3"/>
    </row>
    <row r="116" spans="1:20" x14ac:dyDescent="0.25">
      <c r="A116" s="42" t="s">
        <v>343</v>
      </c>
      <c r="B116" s="3">
        <v>80</v>
      </c>
      <c r="C116" s="73" t="str">
        <f t="shared" si="1"/>
        <v>56</v>
      </c>
      <c r="D116" s="3" t="s">
        <v>240</v>
      </c>
      <c r="E116" s="3"/>
      <c r="F116" s="3">
        <v>0</v>
      </c>
      <c r="G116" s="3">
        <v>32767</v>
      </c>
      <c r="H116" s="3" t="s">
        <v>633</v>
      </c>
      <c r="I116" s="3" t="s">
        <v>93</v>
      </c>
      <c r="J116" s="3"/>
      <c r="L116" s="3"/>
      <c r="M116" s="3"/>
      <c r="N116" s="3"/>
      <c r="O116" s="3"/>
      <c r="P116" s="3"/>
      <c r="Q116" s="3"/>
      <c r="R116" s="3"/>
      <c r="S116" s="3"/>
      <c r="T116" s="3"/>
    </row>
    <row r="117" spans="1:20" x14ac:dyDescent="0.25">
      <c r="A117" s="15" t="s">
        <v>645</v>
      </c>
      <c r="B117" s="3">
        <v>80</v>
      </c>
      <c r="C117" s="73" t="str">
        <f t="shared" si="1"/>
        <v>57</v>
      </c>
      <c r="D117" s="3" t="s">
        <v>225</v>
      </c>
      <c r="E117" s="3"/>
      <c r="F117" s="3" t="s">
        <v>646</v>
      </c>
      <c r="G117" s="3" t="s">
        <v>647</v>
      </c>
      <c r="H117" s="3" t="s">
        <v>648</v>
      </c>
      <c r="I117" s="3" t="s">
        <v>87</v>
      </c>
      <c r="J117" s="3"/>
      <c r="K117" s="3" t="s">
        <v>649</v>
      </c>
      <c r="L117" s="3"/>
      <c r="M117" s="3"/>
      <c r="N117" s="3"/>
      <c r="O117" s="3"/>
      <c r="P117" s="3"/>
      <c r="Q117" s="3"/>
      <c r="R117" s="3"/>
      <c r="S117" s="3"/>
      <c r="T117" s="3"/>
    </row>
    <row r="118" spans="1:20" x14ac:dyDescent="0.25">
      <c r="A118" s="15" t="s">
        <v>659</v>
      </c>
      <c r="B118" s="3">
        <v>80</v>
      </c>
      <c r="C118" s="73" t="str">
        <f t="shared" si="1"/>
        <v>58</v>
      </c>
      <c r="D118" s="3" t="s">
        <v>225</v>
      </c>
      <c r="E118" s="3"/>
      <c r="F118" s="3" t="s">
        <v>646</v>
      </c>
      <c r="G118" s="3" t="s">
        <v>647</v>
      </c>
      <c r="H118" s="3" t="s">
        <v>648</v>
      </c>
      <c r="I118" s="3" t="s">
        <v>87</v>
      </c>
      <c r="J118" s="3"/>
      <c r="K118" s="3" t="s">
        <v>650</v>
      </c>
      <c r="L118" s="3"/>
      <c r="M118" s="3"/>
      <c r="N118" s="3"/>
      <c r="O118" s="3"/>
      <c r="P118" s="3"/>
      <c r="Q118" s="3"/>
      <c r="R118" s="3"/>
      <c r="S118" s="3"/>
      <c r="T118" s="3"/>
    </row>
    <row r="119" spans="1:20" x14ac:dyDescent="0.25">
      <c r="A119" s="42" t="s">
        <v>343</v>
      </c>
      <c r="B119" s="3">
        <v>80</v>
      </c>
      <c r="C119" s="73" t="str">
        <f t="shared" si="1"/>
        <v>59</v>
      </c>
      <c r="D119" s="3"/>
      <c r="E119" s="3"/>
      <c r="F119" s="3"/>
      <c r="G119" s="3"/>
      <c r="H119" s="3"/>
      <c r="I119" s="3"/>
      <c r="J119" s="3"/>
      <c r="L119" s="3"/>
    </row>
    <row r="120" spans="1:20" x14ac:dyDescent="0.25">
      <c r="A120" s="75" t="s">
        <v>667</v>
      </c>
      <c r="B120" s="3">
        <v>80</v>
      </c>
      <c r="C120" s="73" t="str">
        <f t="shared" si="1"/>
        <v>5A</v>
      </c>
      <c r="D120" s="3" t="s">
        <v>140</v>
      </c>
      <c r="E120" s="3"/>
      <c r="F120" s="3">
        <v>0</v>
      </c>
      <c r="G120" s="3">
        <v>1</v>
      </c>
      <c r="H120" s="3"/>
      <c r="I120" s="3" t="s">
        <v>87</v>
      </c>
      <c r="J120" s="3"/>
      <c r="K120" s="8" t="s">
        <v>673</v>
      </c>
    </row>
    <row r="121" spans="1:20" x14ac:dyDescent="0.25">
      <c r="A121" s="37" t="s">
        <v>668</v>
      </c>
      <c r="B121" s="3">
        <v>80</v>
      </c>
      <c r="C121" s="73" t="str">
        <f t="shared" si="1"/>
        <v>5B</v>
      </c>
      <c r="D121" s="3" t="s">
        <v>240</v>
      </c>
      <c r="E121" s="3"/>
      <c r="F121" s="3">
        <v>20</v>
      </c>
      <c r="G121" s="3">
        <v>600</v>
      </c>
      <c r="H121" s="3" t="s">
        <v>671</v>
      </c>
      <c r="I121" s="3" t="s">
        <v>87</v>
      </c>
      <c r="J121" s="3"/>
      <c r="K121" s="8"/>
    </row>
    <row r="122" spans="1:20" x14ac:dyDescent="0.25">
      <c r="A122" s="37" t="s">
        <v>784</v>
      </c>
      <c r="B122" s="3">
        <v>80</v>
      </c>
      <c r="C122" s="73" t="str">
        <f t="shared" si="1"/>
        <v>5C</v>
      </c>
      <c r="D122" s="3" t="s">
        <v>140</v>
      </c>
      <c r="E122" s="3"/>
      <c r="F122" s="3">
        <v>0</v>
      </c>
      <c r="G122" s="3">
        <v>1</v>
      </c>
      <c r="H122" s="3"/>
      <c r="I122" s="3" t="s">
        <v>93</v>
      </c>
      <c r="J122" s="3"/>
      <c r="K122" s="1"/>
    </row>
    <row r="123" spans="1:20" x14ac:dyDescent="0.25">
      <c r="A123" s="37" t="s">
        <v>785</v>
      </c>
      <c r="B123" s="3">
        <v>80</v>
      </c>
      <c r="C123" s="73" t="str">
        <f t="shared" si="1"/>
        <v>5D</v>
      </c>
      <c r="D123" s="3" t="s">
        <v>140</v>
      </c>
      <c r="E123" s="3"/>
      <c r="F123" s="3">
        <v>0</v>
      </c>
      <c r="G123" s="3">
        <v>1</v>
      </c>
      <c r="H123" s="3"/>
      <c r="I123" s="3" t="s">
        <v>93</v>
      </c>
    </row>
    <row r="124" spans="1:20" x14ac:dyDescent="0.25">
      <c r="A124" s="42" t="s">
        <v>343</v>
      </c>
      <c r="B124" s="3">
        <v>80</v>
      </c>
      <c r="C124" s="73" t="str">
        <f t="shared" si="1"/>
        <v>5E</v>
      </c>
      <c r="D124" s="3" t="s">
        <v>140</v>
      </c>
      <c r="E124" s="3"/>
      <c r="F124" s="3">
        <v>0</v>
      </c>
      <c r="G124" s="3">
        <v>1</v>
      </c>
      <c r="H124" s="3"/>
      <c r="I124" s="3" t="s">
        <v>93</v>
      </c>
    </row>
    <row r="125" spans="1:20" x14ac:dyDescent="0.25">
      <c r="A125" s="42" t="s">
        <v>343</v>
      </c>
      <c r="B125" s="3">
        <v>80</v>
      </c>
      <c r="C125" s="73" t="str">
        <f t="shared" si="1"/>
        <v>5F</v>
      </c>
      <c r="D125" s="3" t="s">
        <v>140</v>
      </c>
      <c r="E125" s="3"/>
      <c r="F125" s="3">
        <v>0</v>
      </c>
      <c r="G125" s="3">
        <v>1</v>
      </c>
      <c r="H125" s="3"/>
      <c r="I125" s="3" t="s">
        <v>93</v>
      </c>
    </row>
    <row r="126" spans="1:20" x14ac:dyDescent="0.25">
      <c r="A126" s="42" t="s">
        <v>343</v>
      </c>
      <c r="B126" s="3">
        <v>80</v>
      </c>
      <c r="C126" s="73" t="str">
        <f t="shared" si="1"/>
        <v>60</v>
      </c>
      <c r="D126" s="3" t="s">
        <v>140</v>
      </c>
      <c r="E126" s="3"/>
      <c r="F126" s="3">
        <v>0</v>
      </c>
      <c r="G126" s="3">
        <v>1</v>
      </c>
      <c r="H126" s="3"/>
      <c r="I126" s="3" t="s">
        <v>93</v>
      </c>
    </row>
    <row r="127" spans="1:20" x14ac:dyDescent="0.25">
      <c r="A127" s="37" t="s">
        <v>693</v>
      </c>
      <c r="B127" s="3">
        <v>80</v>
      </c>
      <c r="C127" s="73" t="str">
        <f t="shared" si="1"/>
        <v>61</v>
      </c>
      <c r="D127" s="3" t="s">
        <v>131</v>
      </c>
      <c r="E127" s="3" t="s">
        <v>711</v>
      </c>
      <c r="F127" s="3">
        <v>0</v>
      </c>
      <c r="G127" s="3">
        <v>16777215</v>
      </c>
      <c r="H127" s="3" t="s">
        <v>711</v>
      </c>
      <c r="I127" s="3" t="s">
        <v>87</v>
      </c>
      <c r="J127" s="3"/>
      <c r="K127" s="3" t="s">
        <v>694</v>
      </c>
    </row>
    <row r="128" spans="1:20" x14ac:dyDescent="0.25">
      <c r="A128" s="37" t="s">
        <v>695</v>
      </c>
      <c r="B128" s="3">
        <v>80</v>
      </c>
      <c r="C128" s="73" t="str">
        <f t="shared" si="1"/>
        <v>62</v>
      </c>
      <c r="D128" s="3" t="s">
        <v>131</v>
      </c>
      <c r="E128" s="3" t="s">
        <v>711</v>
      </c>
      <c r="F128" s="3">
        <v>0</v>
      </c>
      <c r="G128" s="3">
        <v>16777215</v>
      </c>
      <c r="H128" s="3" t="s">
        <v>711</v>
      </c>
      <c r="I128" s="3" t="s">
        <v>87</v>
      </c>
      <c r="J128" s="3"/>
      <c r="K128" s="3" t="s">
        <v>694</v>
      </c>
    </row>
    <row r="129" spans="1:11" x14ac:dyDescent="0.25">
      <c r="A129" s="42" t="s">
        <v>343</v>
      </c>
      <c r="B129" s="3">
        <v>80</v>
      </c>
      <c r="C129" s="73" t="str">
        <f t="shared" si="1"/>
        <v>63</v>
      </c>
      <c r="D129" s="3" t="s">
        <v>140</v>
      </c>
      <c r="E129" s="3"/>
      <c r="F129" s="3">
        <v>0</v>
      </c>
      <c r="G129" s="3">
        <v>1</v>
      </c>
      <c r="H129" s="3"/>
      <c r="I129" s="3" t="s">
        <v>93</v>
      </c>
    </row>
    <row r="130" spans="1:11" x14ac:dyDescent="0.25">
      <c r="A130" s="42" t="s">
        <v>343</v>
      </c>
      <c r="B130" s="3">
        <v>80</v>
      </c>
      <c r="C130" s="73" t="str">
        <f t="shared" si="1"/>
        <v>64</v>
      </c>
      <c r="D130" s="3" t="s">
        <v>140</v>
      </c>
      <c r="E130" s="3"/>
      <c r="F130" s="3">
        <v>0</v>
      </c>
      <c r="G130" s="3">
        <v>1</v>
      </c>
      <c r="H130" s="3"/>
      <c r="I130" s="3" t="s">
        <v>93</v>
      </c>
    </row>
    <row r="131" spans="1:11" x14ac:dyDescent="0.25">
      <c r="A131" s="42" t="s">
        <v>343</v>
      </c>
      <c r="B131" s="3">
        <v>80</v>
      </c>
      <c r="C131" s="73" t="str">
        <f t="shared" si="1"/>
        <v>65</v>
      </c>
      <c r="D131" s="3" t="s">
        <v>140</v>
      </c>
      <c r="E131" s="3"/>
      <c r="F131" s="3">
        <v>0</v>
      </c>
      <c r="G131" s="3">
        <v>1</v>
      </c>
      <c r="H131" s="3"/>
      <c r="I131" s="3" t="s">
        <v>93</v>
      </c>
    </row>
    <row r="132" spans="1:11" x14ac:dyDescent="0.25">
      <c r="A132" s="42" t="s">
        <v>343</v>
      </c>
      <c r="B132" s="3">
        <v>80</v>
      </c>
      <c r="C132" s="73" t="str">
        <f t="shared" si="1"/>
        <v>66</v>
      </c>
      <c r="D132" s="3" t="s">
        <v>140</v>
      </c>
      <c r="E132" s="3"/>
      <c r="F132" s="3">
        <v>0</v>
      </c>
      <c r="G132" s="3">
        <v>1</v>
      </c>
      <c r="H132" s="3"/>
      <c r="I132" s="3" t="s">
        <v>93</v>
      </c>
    </row>
    <row r="133" spans="1:11" x14ac:dyDescent="0.25">
      <c r="A133" s="42" t="s">
        <v>343</v>
      </c>
      <c r="B133" s="3">
        <v>80</v>
      </c>
      <c r="C133" s="73" t="str">
        <f t="shared" si="1"/>
        <v>67</v>
      </c>
      <c r="D133" s="3" t="s">
        <v>140</v>
      </c>
      <c r="E133" s="3"/>
      <c r="F133" s="3">
        <v>0</v>
      </c>
      <c r="G133" s="3">
        <v>1</v>
      </c>
      <c r="H133" s="3"/>
      <c r="I133" s="3" t="s">
        <v>93</v>
      </c>
    </row>
    <row r="134" spans="1:11" x14ac:dyDescent="0.25">
      <c r="A134" s="42" t="s">
        <v>343</v>
      </c>
      <c r="B134" s="3">
        <v>80</v>
      </c>
      <c r="C134" s="73" t="str">
        <f t="shared" si="1"/>
        <v>68</v>
      </c>
      <c r="D134" s="3" t="s">
        <v>140</v>
      </c>
      <c r="E134" s="3"/>
      <c r="F134" s="3">
        <v>0</v>
      </c>
      <c r="G134" s="3">
        <v>1</v>
      </c>
      <c r="H134" s="3"/>
      <c r="I134" s="3" t="s">
        <v>93</v>
      </c>
    </row>
    <row r="135" spans="1:11" x14ac:dyDescent="0.25">
      <c r="A135" s="42" t="s">
        <v>343</v>
      </c>
      <c r="B135" s="3">
        <v>80</v>
      </c>
      <c r="C135" s="73" t="str">
        <f t="shared" si="1"/>
        <v>69</v>
      </c>
      <c r="D135" s="3" t="s">
        <v>140</v>
      </c>
      <c r="E135" s="3"/>
      <c r="F135" s="3">
        <v>0</v>
      </c>
      <c r="G135" s="3">
        <v>1</v>
      </c>
      <c r="H135" s="3"/>
      <c r="I135" s="3" t="s">
        <v>93</v>
      </c>
    </row>
    <row r="136" spans="1:11" x14ac:dyDescent="0.25">
      <c r="A136" s="42" t="s">
        <v>343</v>
      </c>
      <c r="B136" s="3">
        <v>80</v>
      </c>
      <c r="C136" s="73" t="str">
        <f t="shared" si="1"/>
        <v>6A</v>
      </c>
      <c r="D136" s="3" t="s">
        <v>140</v>
      </c>
      <c r="E136" s="3"/>
      <c r="F136" s="3">
        <v>0</v>
      </c>
      <c r="G136" s="3">
        <v>1</v>
      </c>
      <c r="H136" s="3"/>
      <c r="I136" s="3" t="s">
        <v>93</v>
      </c>
    </row>
    <row r="137" spans="1:11" x14ac:dyDescent="0.25">
      <c r="A137" s="42" t="s">
        <v>343</v>
      </c>
      <c r="B137" s="3">
        <v>80</v>
      </c>
      <c r="C137" s="73" t="str">
        <f t="shared" si="1"/>
        <v>6B</v>
      </c>
      <c r="D137" s="3" t="s">
        <v>140</v>
      </c>
      <c r="E137" s="3"/>
      <c r="F137" s="3">
        <v>0</v>
      </c>
      <c r="G137" s="3">
        <v>1</v>
      </c>
      <c r="H137" s="3"/>
      <c r="I137" s="3" t="s">
        <v>93</v>
      </c>
    </row>
    <row r="138" spans="1:11" x14ac:dyDescent="0.25">
      <c r="A138" s="42" t="s">
        <v>343</v>
      </c>
      <c r="B138" s="3">
        <v>80</v>
      </c>
      <c r="C138" s="73" t="str">
        <f t="shared" si="1"/>
        <v>6C</v>
      </c>
      <c r="D138" s="3" t="s">
        <v>140</v>
      </c>
      <c r="E138" s="3"/>
      <c r="F138" s="3">
        <v>0</v>
      </c>
      <c r="G138" s="3">
        <v>1</v>
      </c>
      <c r="H138" s="3"/>
      <c r="I138" s="3" t="s">
        <v>93</v>
      </c>
    </row>
    <row r="139" spans="1:11" x14ac:dyDescent="0.25">
      <c r="A139" s="42" t="s">
        <v>343</v>
      </c>
      <c r="B139" s="3">
        <v>80</v>
      </c>
      <c r="C139" s="73" t="str">
        <f t="shared" si="1"/>
        <v>6D</v>
      </c>
      <c r="D139" s="3" t="s">
        <v>140</v>
      </c>
      <c r="E139" s="3"/>
      <c r="F139" s="3">
        <v>0</v>
      </c>
      <c r="G139" s="3">
        <v>1</v>
      </c>
      <c r="H139" s="3"/>
      <c r="I139" s="3" t="s">
        <v>93</v>
      </c>
    </row>
    <row r="140" spans="1:11" x14ac:dyDescent="0.25">
      <c r="A140" s="42" t="s">
        <v>343</v>
      </c>
      <c r="B140" s="3">
        <v>80</v>
      </c>
      <c r="C140" s="73" t="str">
        <f t="shared" si="1"/>
        <v>6E</v>
      </c>
      <c r="D140" s="3" t="s">
        <v>140</v>
      </c>
      <c r="E140" s="3"/>
      <c r="F140" s="3">
        <v>0</v>
      </c>
      <c r="G140" s="3">
        <v>1</v>
      </c>
      <c r="H140" s="3"/>
      <c r="I140" s="3" t="s">
        <v>93</v>
      </c>
    </row>
    <row r="141" spans="1:11" x14ac:dyDescent="0.25">
      <c r="A141" s="42" t="s">
        <v>343</v>
      </c>
      <c r="B141" s="3">
        <v>80</v>
      </c>
      <c r="C141" s="73" t="str">
        <f t="shared" si="1"/>
        <v>6F</v>
      </c>
      <c r="D141" s="3" t="s">
        <v>140</v>
      </c>
      <c r="E141" s="3"/>
      <c r="F141" s="3">
        <v>0</v>
      </c>
      <c r="G141" s="3">
        <v>1</v>
      </c>
      <c r="H141" s="3"/>
      <c r="I141" s="3" t="s">
        <v>93</v>
      </c>
    </row>
    <row r="142" spans="1:11" x14ac:dyDescent="0.25">
      <c r="A142" s="42" t="s">
        <v>343</v>
      </c>
      <c r="B142" s="3">
        <v>80</v>
      </c>
      <c r="C142" s="73" t="str">
        <f t="shared" si="1"/>
        <v>70</v>
      </c>
      <c r="D142" s="3" t="s">
        <v>140</v>
      </c>
      <c r="E142" s="3"/>
      <c r="F142" s="3">
        <v>0</v>
      </c>
      <c r="G142" s="3">
        <v>1</v>
      </c>
      <c r="H142" s="3"/>
      <c r="I142" s="3" t="s">
        <v>93</v>
      </c>
    </row>
    <row r="143" spans="1:11" x14ac:dyDescent="0.25">
      <c r="A143" s="15" t="s">
        <v>235</v>
      </c>
      <c r="B143" s="3">
        <v>80</v>
      </c>
      <c r="C143" s="73" t="str">
        <f t="shared" si="1"/>
        <v>71</v>
      </c>
      <c r="D143" s="3" t="s">
        <v>128</v>
      </c>
      <c r="E143" s="3"/>
      <c r="F143" s="3"/>
      <c r="G143" s="3"/>
      <c r="H143" s="3"/>
      <c r="I143" s="3" t="s">
        <v>87</v>
      </c>
      <c r="J143" s="3"/>
      <c r="K143" s="3" t="s">
        <v>926</v>
      </c>
    </row>
    <row r="144" spans="1:11" x14ac:dyDescent="0.25">
      <c r="A144" s="42" t="s">
        <v>343</v>
      </c>
      <c r="B144" s="3">
        <v>80</v>
      </c>
      <c r="C144" s="73" t="str">
        <f t="shared" si="1"/>
        <v>72</v>
      </c>
      <c r="D144" s="3" t="s">
        <v>140</v>
      </c>
      <c r="E144" s="3"/>
      <c r="F144" s="3">
        <v>0</v>
      </c>
      <c r="G144" s="3">
        <v>1</v>
      </c>
      <c r="H144" s="3"/>
      <c r="I144" s="3" t="s">
        <v>93</v>
      </c>
    </row>
    <row r="145" spans="1:11" x14ac:dyDescent="0.25">
      <c r="A145" s="42" t="s">
        <v>343</v>
      </c>
      <c r="B145" s="3">
        <v>80</v>
      </c>
      <c r="C145" s="73" t="str">
        <f t="shared" si="1"/>
        <v>73</v>
      </c>
      <c r="D145" s="3" t="s">
        <v>140</v>
      </c>
      <c r="E145" s="3"/>
      <c r="F145" s="3">
        <v>0</v>
      </c>
      <c r="G145" s="3">
        <v>1</v>
      </c>
      <c r="H145" s="3"/>
      <c r="I145" s="3" t="s">
        <v>93</v>
      </c>
    </row>
    <row r="146" spans="1:11" x14ac:dyDescent="0.25">
      <c r="A146" s="42" t="s">
        <v>343</v>
      </c>
      <c r="B146" s="3">
        <v>80</v>
      </c>
      <c r="C146" s="73" t="str">
        <f t="shared" si="1"/>
        <v>74</v>
      </c>
      <c r="D146" s="3" t="s">
        <v>140</v>
      </c>
      <c r="E146" s="3"/>
      <c r="F146" s="3">
        <v>0</v>
      </c>
      <c r="G146" s="3">
        <v>1</v>
      </c>
      <c r="H146" s="3"/>
      <c r="I146" s="3" t="s">
        <v>93</v>
      </c>
    </row>
    <row r="147" spans="1:11" x14ac:dyDescent="0.25">
      <c r="A147" s="42" t="s">
        <v>343</v>
      </c>
      <c r="B147" s="3">
        <v>80</v>
      </c>
      <c r="C147" s="73" t="str">
        <f t="shared" si="1"/>
        <v>75</v>
      </c>
      <c r="D147" s="3" t="s">
        <v>140</v>
      </c>
      <c r="E147" s="3"/>
      <c r="F147" s="3">
        <v>0</v>
      </c>
      <c r="G147" s="3">
        <v>1</v>
      </c>
      <c r="H147" s="3"/>
      <c r="I147" s="3" t="s">
        <v>93</v>
      </c>
    </row>
    <row r="148" spans="1:11" x14ac:dyDescent="0.25">
      <c r="A148" s="42" t="s">
        <v>343</v>
      </c>
      <c r="B148" s="3">
        <v>80</v>
      </c>
      <c r="C148" s="73" t="str">
        <f t="shared" si="1"/>
        <v>76</v>
      </c>
      <c r="D148" s="3" t="s">
        <v>140</v>
      </c>
      <c r="E148" s="3"/>
      <c r="F148" s="3">
        <v>0</v>
      </c>
      <c r="G148" s="3">
        <v>1</v>
      </c>
      <c r="H148" s="3"/>
      <c r="I148" s="3" t="s">
        <v>93</v>
      </c>
    </row>
    <row r="149" spans="1:11" x14ac:dyDescent="0.25">
      <c r="A149" s="42" t="s">
        <v>343</v>
      </c>
      <c r="B149" s="3">
        <v>80</v>
      </c>
      <c r="C149" s="73" t="str">
        <f t="shared" si="1"/>
        <v>77</v>
      </c>
      <c r="D149" s="3" t="s">
        <v>140</v>
      </c>
      <c r="E149" s="3"/>
      <c r="F149" s="3">
        <v>0</v>
      </c>
      <c r="G149" s="3">
        <v>1</v>
      </c>
      <c r="H149" s="3"/>
      <c r="I149" s="3" t="s">
        <v>93</v>
      </c>
    </row>
    <row r="150" spans="1:11" x14ac:dyDescent="0.25">
      <c r="A150" s="42" t="s">
        <v>343</v>
      </c>
      <c r="B150" s="3">
        <v>80</v>
      </c>
      <c r="C150" s="73" t="str">
        <f t="shared" si="1"/>
        <v>78</v>
      </c>
      <c r="D150" s="3" t="s">
        <v>140</v>
      </c>
      <c r="E150" s="3"/>
      <c r="F150" s="3">
        <v>0</v>
      </c>
      <c r="G150" s="3">
        <v>1</v>
      </c>
      <c r="H150" s="3"/>
      <c r="I150" s="3" t="s">
        <v>93</v>
      </c>
    </row>
    <row r="151" spans="1:11" x14ac:dyDescent="0.25">
      <c r="A151" s="42" t="s">
        <v>343</v>
      </c>
      <c r="B151" s="3">
        <v>80</v>
      </c>
      <c r="C151" s="73" t="str">
        <f t="shared" si="1"/>
        <v>79</v>
      </c>
      <c r="D151" s="3" t="s">
        <v>140</v>
      </c>
      <c r="E151" s="3"/>
      <c r="F151" s="3">
        <v>0</v>
      </c>
      <c r="G151" s="3">
        <v>1</v>
      </c>
      <c r="H151" s="3"/>
      <c r="I151" s="3" t="s">
        <v>93</v>
      </c>
    </row>
    <row r="152" spans="1:11" x14ac:dyDescent="0.25">
      <c r="A152" s="42" t="s">
        <v>343</v>
      </c>
      <c r="B152" s="3">
        <v>80</v>
      </c>
      <c r="C152" s="73" t="str">
        <f t="shared" si="1"/>
        <v>7A</v>
      </c>
      <c r="D152" s="3" t="s">
        <v>140</v>
      </c>
      <c r="E152" s="3"/>
      <c r="F152" s="3">
        <v>0</v>
      </c>
      <c r="G152" s="3">
        <v>1</v>
      </c>
      <c r="H152" s="3"/>
      <c r="I152" s="3" t="s">
        <v>93</v>
      </c>
    </row>
    <row r="153" spans="1:11" x14ac:dyDescent="0.25">
      <c r="A153" s="42" t="s">
        <v>343</v>
      </c>
      <c r="B153" s="3">
        <v>80</v>
      </c>
      <c r="C153" s="73" t="str">
        <f t="shared" si="1"/>
        <v>7B</v>
      </c>
      <c r="D153" s="3" t="s">
        <v>140</v>
      </c>
      <c r="E153" s="3"/>
      <c r="F153" s="3">
        <v>0</v>
      </c>
      <c r="G153" s="3">
        <v>1</v>
      </c>
      <c r="H153" s="3"/>
      <c r="I153" s="3" t="s">
        <v>93</v>
      </c>
    </row>
    <row r="154" spans="1:11" x14ac:dyDescent="0.25">
      <c r="A154" s="42" t="s">
        <v>343</v>
      </c>
      <c r="B154" s="3">
        <v>80</v>
      </c>
      <c r="C154" s="73" t="str">
        <f t="shared" si="1"/>
        <v>7C</v>
      </c>
      <c r="D154" s="3" t="s">
        <v>140</v>
      </c>
      <c r="E154" s="3"/>
      <c r="F154" s="3">
        <v>0</v>
      </c>
      <c r="G154" s="3">
        <v>1</v>
      </c>
      <c r="H154" s="3"/>
      <c r="I154" s="3" t="s">
        <v>93</v>
      </c>
    </row>
    <row r="155" spans="1:11" x14ac:dyDescent="0.25">
      <c r="A155" s="42" t="s">
        <v>343</v>
      </c>
      <c r="B155" s="3">
        <v>80</v>
      </c>
      <c r="C155" s="73" t="str">
        <f t="shared" si="1"/>
        <v>7D</v>
      </c>
      <c r="D155" s="3" t="s">
        <v>140</v>
      </c>
      <c r="E155" s="3"/>
      <c r="F155" s="3">
        <v>0</v>
      </c>
      <c r="G155" s="3">
        <v>1</v>
      </c>
      <c r="H155" s="3"/>
      <c r="I155" s="3" t="s">
        <v>93</v>
      </c>
    </row>
    <row r="156" spans="1:11" x14ac:dyDescent="0.25">
      <c r="A156" s="42" t="s">
        <v>343</v>
      </c>
      <c r="B156" s="3">
        <v>80</v>
      </c>
      <c r="C156" s="73" t="str">
        <f t="shared" si="1"/>
        <v>7E</v>
      </c>
      <c r="D156" s="3" t="s">
        <v>140</v>
      </c>
      <c r="E156" s="3"/>
      <c r="F156" s="3">
        <v>0</v>
      </c>
      <c r="G156" s="3">
        <v>1</v>
      </c>
      <c r="H156" s="3"/>
      <c r="I156" s="3" t="s">
        <v>93</v>
      </c>
    </row>
    <row r="157" spans="1:11" x14ac:dyDescent="0.25">
      <c r="A157" s="37" t="s">
        <v>934</v>
      </c>
      <c r="B157" s="3">
        <v>80</v>
      </c>
      <c r="C157" s="73" t="str">
        <f t="shared" si="1"/>
        <v>7F</v>
      </c>
      <c r="D157" s="3" t="s">
        <v>137</v>
      </c>
      <c r="E157" s="3"/>
      <c r="F157" s="3">
        <v>0</v>
      </c>
      <c r="G157" s="3">
        <v>100</v>
      </c>
      <c r="H157" s="3" t="s">
        <v>639</v>
      </c>
      <c r="I157" s="3" t="s">
        <v>87</v>
      </c>
      <c r="J157" s="3"/>
      <c r="K157" s="3" t="s">
        <v>935</v>
      </c>
    </row>
    <row r="158" spans="1:11" ht="90" x14ac:dyDescent="0.25">
      <c r="A158" s="37" t="s">
        <v>677</v>
      </c>
      <c r="B158" s="3">
        <v>80</v>
      </c>
      <c r="C158" s="73" t="str">
        <f t="shared" si="1"/>
        <v>80</v>
      </c>
      <c r="D158" s="3" t="s">
        <v>137</v>
      </c>
      <c r="E158" s="3"/>
      <c r="F158" s="3">
        <v>0</v>
      </c>
      <c r="G158" s="3">
        <v>1</v>
      </c>
      <c r="H158" s="3"/>
      <c r="I158" s="3" t="s">
        <v>87</v>
      </c>
      <c r="J158" s="3"/>
      <c r="K158" s="8" t="s">
        <v>997</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F2D9C-037F-4EDA-8E27-5D3E633AC319}">
  <dimension ref="A1:AMM160"/>
  <sheetViews>
    <sheetView zoomScale="98" zoomScaleNormal="100" workbookViewId="0">
      <pane xSplit="3" ySplit="4" topLeftCell="D64" activePane="bottomRight" state="frozen"/>
      <selection pane="topRight" activeCell="D1" sqref="D1"/>
      <selection pane="bottomLeft" activeCell="A3" sqref="A3"/>
      <selection pane="bottomRight" activeCell="F164" sqref="F164"/>
    </sheetView>
  </sheetViews>
  <sheetFormatPr defaultColWidth="8.5703125" defaultRowHeight="15" x14ac:dyDescent="0.25"/>
  <cols>
    <col min="1" max="1" width="68.42578125" style="3" bestFit="1" customWidth="1"/>
    <col min="2" max="2" width="10" style="1" customWidth="1"/>
    <col min="3" max="3" width="8.285156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80"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966</v>
      </c>
    </row>
    <row r="3" spans="1:20" x14ac:dyDescent="0.25">
      <c r="A3" s="10" t="s">
        <v>945</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967</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904</v>
      </c>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8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837</v>
      </c>
      <c r="L26" s="3"/>
      <c r="M26" s="3"/>
      <c r="N26" s="3"/>
      <c r="O26" s="3"/>
      <c r="P26" s="3"/>
      <c r="Q26" s="3"/>
      <c r="R26" s="3"/>
      <c r="S26" s="3"/>
      <c r="T26" s="3"/>
    </row>
    <row r="27" spans="1:20" customFormat="1" ht="180"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788</v>
      </c>
      <c r="L27" s="3"/>
      <c r="M27" s="3"/>
      <c r="N27" s="3"/>
      <c r="O27" s="3"/>
      <c r="P27" s="3"/>
      <c r="Q27" s="3"/>
      <c r="R27" s="3"/>
      <c r="S27" s="3"/>
      <c r="T27" s="3"/>
    </row>
    <row r="28" spans="1:20" customFormat="1"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25">
      <c r="B29" s="3"/>
      <c r="C29" s="3"/>
      <c r="D29" s="3"/>
      <c r="E29" s="3"/>
      <c r="F29" s="3"/>
      <c r="G29" s="3"/>
      <c r="H29" s="3"/>
      <c r="I29" s="3"/>
      <c r="J29" s="3"/>
      <c r="L29" s="3"/>
      <c r="M29" s="3"/>
      <c r="N29" s="3"/>
      <c r="O29" s="3"/>
      <c r="P29" s="3"/>
      <c r="Q29" s="3"/>
      <c r="R29" s="3"/>
      <c r="S29" s="3"/>
      <c r="T29" s="3"/>
    </row>
    <row r="30" spans="1:20" x14ac:dyDescent="0.25">
      <c r="A30" s="39" t="s">
        <v>968</v>
      </c>
      <c r="B30" s="53"/>
      <c r="C30" s="53"/>
      <c r="D30" s="53"/>
      <c r="E30" s="53"/>
      <c r="F30" s="53"/>
      <c r="G30" s="53"/>
      <c r="H30" s="53"/>
      <c r="I30" s="53"/>
      <c r="J30" s="53"/>
      <c r="K30" s="101"/>
      <c r="L30" s="102"/>
      <c r="M30" s="102"/>
      <c r="N30" s="102"/>
      <c r="O30" s="102"/>
      <c r="P30" s="102"/>
      <c r="Q30" s="102"/>
      <c r="R30" s="102"/>
      <c r="S30" s="102"/>
      <c r="T30" s="103"/>
    </row>
    <row r="31" spans="1:20" ht="30" x14ac:dyDescent="0.25">
      <c r="A31" s="15" t="s">
        <v>838</v>
      </c>
      <c r="B31" s="3">
        <v>80</v>
      </c>
      <c r="C31" s="73" t="str">
        <f>DEC2HEX(0)</f>
        <v>0</v>
      </c>
      <c r="D31" s="3" t="s">
        <v>137</v>
      </c>
      <c r="E31" s="3"/>
      <c r="F31" s="3"/>
      <c r="G31" s="3"/>
      <c r="H31" s="3"/>
      <c r="I31" s="3" t="s">
        <v>103</v>
      </c>
      <c r="J31" s="3"/>
      <c r="K31" s="8" t="s">
        <v>579</v>
      </c>
      <c r="L31" s="3"/>
      <c r="M31" s="3"/>
      <c r="N31" s="3"/>
      <c r="O31" s="3"/>
      <c r="P31" s="3"/>
      <c r="Q31" s="3"/>
      <c r="R31" s="3"/>
      <c r="S31" s="3"/>
      <c r="T31" s="3"/>
    </row>
    <row r="32" spans="1:20" x14ac:dyDescent="0.25">
      <c r="A32" s="15" t="s">
        <v>223</v>
      </c>
      <c r="B32" s="3">
        <v>80</v>
      </c>
      <c r="C32" s="73" t="str">
        <f>DEC2HEX(HEX2DEC(C31)+1)</f>
        <v>1</v>
      </c>
      <c r="D32" s="3" t="s">
        <v>140</v>
      </c>
      <c r="E32" s="3"/>
      <c r="F32" s="3">
        <v>0</v>
      </c>
      <c r="G32" s="3">
        <v>1</v>
      </c>
      <c r="H32" s="3"/>
      <c r="I32" s="3" t="s">
        <v>93</v>
      </c>
      <c r="J32" s="3"/>
      <c r="K32" s="3" t="s">
        <v>644</v>
      </c>
      <c r="L32" s="3"/>
      <c r="M32" s="3"/>
      <c r="N32" s="3"/>
      <c r="O32" s="3"/>
      <c r="P32" s="3"/>
      <c r="Q32" s="3"/>
      <c r="R32" s="3"/>
      <c r="S32" s="3"/>
      <c r="T32" s="3"/>
    </row>
    <row r="33" spans="1:1027" ht="60" x14ac:dyDescent="0.25">
      <c r="A33" s="15" t="s">
        <v>569</v>
      </c>
      <c r="B33" s="3">
        <v>80</v>
      </c>
      <c r="C33" s="73" t="str">
        <f>DEC2HEX(HEX2DEC(C32)+1)</f>
        <v>2</v>
      </c>
      <c r="D33" s="3" t="s">
        <v>225</v>
      </c>
      <c r="E33" s="3"/>
      <c r="F33" s="3"/>
      <c r="G33" s="3"/>
      <c r="H33" s="3" t="s">
        <v>226</v>
      </c>
      <c r="I33" s="3" t="s">
        <v>93</v>
      </c>
      <c r="J33" s="3"/>
      <c r="K33" s="8" t="s">
        <v>1002</v>
      </c>
      <c r="L33" s="3"/>
      <c r="M33" s="3"/>
      <c r="N33" s="3"/>
      <c r="O33" s="3"/>
      <c r="P33" s="3"/>
      <c r="Q33" s="3"/>
      <c r="R33" s="3"/>
      <c r="S33" s="3"/>
      <c r="T33" s="3"/>
    </row>
    <row r="34" spans="1:1027" x14ac:dyDescent="0.25">
      <c r="A34" s="15" t="s">
        <v>227</v>
      </c>
      <c r="B34" s="3">
        <v>80</v>
      </c>
      <c r="C34" s="73" t="str">
        <f>DEC2HEX(HEX2DEC(C33)+1)</f>
        <v>3</v>
      </c>
      <c r="D34" s="3" t="s">
        <v>225</v>
      </c>
      <c r="E34" s="3"/>
      <c r="F34" s="3"/>
      <c r="G34" s="3"/>
      <c r="H34" s="3" t="s">
        <v>226</v>
      </c>
      <c r="I34" s="3" t="s">
        <v>93</v>
      </c>
      <c r="J34" s="3"/>
      <c r="K34" s="3" t="s">
        <v>228</v>
      </c>
      <c r="L34" s="3"/>
      <c r="M34" s="3"/>
      <c r="N34" s="3"/>
      <c r="O34" s="3"/>
      <c r="P34" s="3"/>
      <c r="Q34" s="3"/>
      <c r="R34" s="3"/>
      <c r="S34" s="3"/>
      <c r="T34" s="3"/>
    </row>
    <row r="35" spans="1:1027" x14ac:dyDescent="0.25">
      <c r="A35" s="42" t="s">
        <v>343</v>
      </c>
      <c r="B35" s="3">
        <v>80</v>
      </c>
      <c r="C35" s="73" t="str">
        <f t="shared" ref="C35:C98" si="0">DEC2HEX(HEX2DEC(C34)+1)</f>
        <v>4</v>
      </c>
      <c r="D35" s="3" t="s">
        <v>137</v>
      </c>
      <c r="E35" s="3"/>
      <c r="F35" s="3"/>
      <c r="G35" s="3"/>
      <c r="H35" s="3"/>
      <c r="I35" s="3"/>
      <c r="J35" s="3"/>
      <c r="L35" s="3"/>
      <c r="M35" s="3"/>
      <c r="N35" s="3"/>
      <c r="O35" s="3"/>
      <c r="P35" s="3"/>
      <c r="Q35" s="3"/>
      <c r="R35" s="3"/>
      <c r="S35" s="3"/>
      <c r="T35" s="3"/>
    </row>
    <row r="36" spans="1:1027" x14ac:dyDescent="0.25">
      <c r="A36" s="15" t="s">
        <v>656</v>
      </c>
      <c r="B36" s="3">
        <v>80</v>
      </c>
      <c r="C36" s="73" t="str">
        <f t="shared" si="0"/>
        <v>5</v>
      </c>
      <c r="D36" s="3" t="s">
        <v>240</v>
      </c>
      <c r="F36" s="3">
        <v>0</v>
      </c>
      <c r="G36" s="3">
        <v>65535</v>
      </c>
      <c r="H36" s="3" t="s">
        <v>633</v>
      </c>
      <c r="I36" s="3" t="s">
        <v>87</v>
      </c>
      <c r="K36" s="3" t="s">
        <v>658</v>
      </c>
      <c r="L36" s="3"/>
      <c r="M36" s="3"/>
      <c r="N36" s="3"/>
      <c r="O36" s="3"/>
      <c r="P36" s="3"/>
      <c r="Q36" s="3"/>
      <c r="R36" s="3"/>
      <c r="S36" s="3"/>
      <c r="T36" s="3"/>
    </row>
    <row r="37" spans="1:1027" x14ac:dyDescent="0.25">
      <c r="A37" s="15" t="s">
        <v>655</v>
      </c>
      <c r="B37" s="3">
        <v>80</v>
      </c>
      <c r="C37" s="73" t="str">
        <f t="shared" si="0"/>
        <v>6</v>
      </c>
      <c r="D37" s="3" t="s">
        <v>240</v>
      </c>
      <c r="F37" s="3">
        <v>0</v>
      </c>
      <c r="G37" s="3">
        <v>65535</v>
      </c>
      <c r="H37" s="3" t="s">
        <v>633</v>
      </c>
      <c r="I37" s="3" t="s">
        <v>87</v>
      </c>
      <c r="K37" s="3" t="s">
        <v>657</v>
      </c>
      <c r="L37" s="3"/>
      <c r="M37" s="3"/>
      <c r="N37" s="3"/>
      <c r="O37" s="3"/>
      <c r="P37" s="3"/>
      <c r="Q37" s="3"/>
      <c r="R37" s="3"/>
      <c r="S37" s="3"/>
      <c r="T37" s="3"/>
    </row>
    <row r="38" spans="1:1027" customFormat="1" x14ac:dyDescent="0.25">
      <c r="A38" s="15" t="s">
        <v>654</v>
      </c>
      <c r="B38" s="3">
        <v>80</v>
      </c>
      <c r="C38" s="73" t="str">
        <f t="shared" si="0"/>
        <v>7</v>
      </c>
      <c r="D38" s="3" t="s">
        <v>240</v>
      </c>
      <c r="E38" s="1"/>
      <c r="F38" s="3">
        <v>0</v>
      </c>
      <c r="G38" s="3">
        <v>65535</v>
      </c>
      <c r="H38" s="3" t="s">
        <v>633</v>
      </c>
      <c r="I38" s="3" t="s">
        <v>87</v>
      </c>
      <c r="J38" s="1"/>
      <c r="K38" s="3" t="s">
        <v>658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25">
      <c r="A39" s="15" t="s">
        <v>653</v>
      </c>
      <c r="B39" s="3">
        <v>80</v>
      </c>
      <c r="C39" s="73" t="str">
        <f t="shared" si="0"/>
        <v>8</v>
      </c>
      <c r="D39" s="3" t="s">
        <v>240</v>
      </c>
      <c r="F39" s="3">
        <v>0</v>
      </c>
      <c r="G39" s="3">
        <v>65535</v>
      </c>
      <c r="H39" s="3" t="s">
        <v>633</v>
      </c>
      <c r="I39" s="3" t="s">
        <v>87</v>
      </c>
      <c r="K39" s="3" t="s">
        <v>657</v>
      </c>
      <c r="L39" s="3"/>
      <c r="M39" s="3"/>
      <c r="N39" s="3"/>
      <c r="O39" s="3"/>
      <c r="P39" s="3"/>
      <c r="Q39" s="3"/>
      <c r="R39" s="3"/>
      <c r="S39" s="3"/>
      <c r="T39" s="3"/>
    </row>
    <row r="40" spans="1:1027" x14ac:dyDescent="0.25">
      <c r="A40" s="15" t="s">
        <v>450</v>
      </c>
      <c r="B40" s="3">
        <v>80</v>
      </c>
      <c r="C40" s="73" t="str">
        <f t="shared" si="0"/>
        <v>9</v>
      </c>
      <c r="D40" s="3" t="s">
        <v>225</v>
      </c>
      <c r="E40" s="3"/>
      <c r="F40" s="3">
        <v>-180</v>
      </c>
      <c r="G40" s="3">
        <v>180</v>
      </c>
      <c r="H40" s="3" t="s">
        <v>226</v>
      </c>
      <c r="I40" s="3" t="s">
        <v>93</v>
      </c>
      <c r="J40" s="3"/>
      <c r="L40" s="3"/>
      <c r="M40" s="3"/>
      <c r="N40" s="3"/>
      <c r="O40" s="3"/>
      <c r="P40" s="3"/>
      <c r="Q40" s="3"/>
      <c r="R40" s="3"/>
      <c r="S40" s="3"/>
      <c r="T40" s="3"/>
    </row>
    <row r="41" spans="1:1027" x14ac:dyDescent="0.25">
      <c r="A41" s="15" t="s">
        <v>451</v>
      </c>
      <c r="B41" s="3">
        <v>80</v>
      </c>
      <c r="C41" s="73" t="str">
        <f t="shared" si="0"/>
        <v>A</v>
      </c>
      <c r="D41" s="3" t="s">
        <v>225</v>
      </c>
      <c r="E41" s="3"/>
      <c r="F41" s="3">
        <v>-180</v>
      </c>
      <c r="G41" s="3">
        <v>180</v>
      </c>
      <c r="H41" s="3" t="s">
        <v>226</v>
      </c>
      <c r="I41" s="3" t="s">
        <v>93</v>
      </c>
      <c r="J41" s="3"/>
      <c r="L41" s="3"/>
      <c r="M41" s="3"/>
      <c r="N41" s="3"/>
      <c r="O41" s="3"/>
      <c r="P41" s="3"/>
      <c r="Q41" s="3"/>
      <c r="R41" s="3"/>
      <c r="S41" s="3"/>
      <c r="T41" s="3"/>
    </row>
    <row r="42" spans="1:1027" x14ac:dyDescent="0.25">
      <c r="A42" s="15" t="s">
        <v>452</v>
      </c>
      <c r="B42" s="3">
        <v>80</v>
      </c>
      <c r="C42" s="73" t="str">
        <f t="shared" si="0"/>
        <v>B</v>
      </c>
      <c r="D42" s="3" t="s">
        <v>225</v>
      </c>
      <c r="E42" s="3"/>
      <c r="F42" s="3">
        <v>-180</v>
      </c>
      <c r="G42" s="3">
        <v>180</v>
      </c>
      <c r="H42" s="3" t="s">
        <v>226</v>
      </c>
      <c r="I42" s="3" t="s">
        <v>93</v>
      </c>
      <c r="J42" s="3"/>
      <c r="L42" s="3"/>
      <c r="M42" s="3"/>
      <c r="N42" s="3"/>
      <c r="O42" s="3"/>
      <c r="P42" s="3"/>
      <c r="Q42" s="3"/>
      <c r="R42" s="3"/>
      <c r="S42" s="3"/>
      <c r="T42" s="3"/>
    </row>
    <row r="43" spans="1:1027" x14ac:dyDescent="0.25">
      <c r="A43" s="37" t="s">
        <v>453</v>
      </c>
      <c r="B43" s="3">
        <v>80</v>
      </c>
      <c r="C43" s="73" t="str">
        <f t="shared" si="0"/>
        <v>C</v>
      </c>
      <c r="D43" s="3" t="s">
        <v>225</v>
      </c>
      <c r="E43" s="3"/>
      <c r="F43" s="3"/>
      <c r="G43" s="3"/>
      <c r="H43" s="3"/>
      <c r="I43" s="3" t="s">
        <v>93</v>
      </c>
      <c r="J43" s="3"/>
      <c r="L43" s="3"/>
      <c r="M43" s="3"/>
      <c r="N43" s="3"/>
      <c r="O43" s="3"/>
      <c r="P43" s="3"/>
      <c r="Q43" s="3"/>
      <c r="R43" s="3"/>
      <c r="S43" s="3"/>
      <c r="T43" s="3"/>
    </row>
    <row r="44" spans="1:1027" x14ac:dyDescent="0.25">
      <c r="A44" s="37" t="s">
        <v>454</v>
      </c>
      <c r="B44" s="3">
        <v>80</v>
      </c>
      <c r="C44" s="73" t="str">
        <f t="shared" si="0"/>
        <v>D</v>
      </c>
      <c r="D44" s="3" t="s">
        <v>225</v>
      </c>
      <c r="E44" s="3"/>
      <c r="F44" s="3"/>
      <c r="G44" s="3"/>
      <c r="H44" s="3"/>
      <c r="I44" s="3" t="s">
        <v>93</v>
      </c>
      <c r="J44" s="3"/>
      <c r="L44" s="3"/>
      <c r="M44" s="3"/>
      <c r="N44" s="3"/>
      <c r="O44" s="3"/>
      <c r="P44" s="3"/>
      <c r="Q44" s="3"/>
      <c r="R44" s="3"/>
      <c r="S44" s="3"/>
      <c r="T44" s="3"/>
    </row>
    <row r="45" spans="1:1027" x14ac:dyDescent="0.25">
      <c r="A45" s="37" t="s">
        <v>455</v>
      </c>
      <c r="B45" s="3">
        <v>80</v>
      </c>
      <c r="C45" s="73" t="str">
        <f t="shared" si="0"/>
        <v>E</v>
      </c>
      <c r="D45" s="3" t="s">
        <v>225</v>
      </c>
      <c r="E45" s="3"/>
      <c r="F45" s="3"/>
      <c r="G45" s="3"/>
      <c r="H45" s="3"/>
      <c r="I45" s="3" t="s">
        <v>93</v>
      </c>
      <c r="J45" s="3"/>
      <c r="L45" s="3"/>
      <c r="M45" s="3"/>
      <c r="N45" s="3"/>
      <c r="O45" s="3"/>
      <c r="P45" s="3"/>
      <c r="Q45" s="3"/>
      <c r="R45" s="3"/>
      <c r="S45" s="3"/>
      <c r="T45" s="3"/>
    </row>
    <row r="46" spans="1:1027" x14ac:dyDescent="0.25">
      <c r="A46" s="37" t="s">
        <v>624</v>
      </c>
      <c r="B46" s="3">
        <v>80</v>
      </c>
      <c r="C46" s="73" t="str">
        <f t="shared" si="0"/>
        <v>F</v>
      </c>
      <c r="D46" s="3" t="s">
        <v>137</v>
      </c>
      <c r="E46" s="3"/>
      <c r="F46" s="3">
        <v>0</v>
      </c>
      <c r="G46" s="3">
        <v>3</v>
      </c>
      <c r="H46" s="3"/>
      <c r="I46" s="3" t="s">
        <v>93</v>
      </c>
      <c r="J46" s="3"/>
      <c r="K46" s="3" t="s">
        <v>625</v>
      </c>
      <c r="L46" s="3"/>
      <c r="M46" s="3"/>
      <c r="N46" s="3"/>
      <c r="O46" s="3"/>
      <c r="P46" s="3"/>
      <c r="Q46" s="3"/>
      <c r="R46" s="3"/>
      <c r="S46" s="3"/>
      <c r="T46" s="3"/>
    </row>
    <row r="47" spans="1:1027" x14ac:dyDescent="0.25">
      <c r="A47" s="42" t="s">
        <v>343</v>
      </c>
      <c r="B47" s="3">
        <v>80</v>
      </c>
      <c r="C47" s="73" t="str">
        <f t="shared" si="0"/>
        <v>10</v>
      </c>
      <c r="D47" s="3"/>
      <c r="E47" s="3"/>
      <c r="F47" s="3"/>
      <c r="G47" s="3"/>
      <c r="H47" s="3"/>
      <c r="I47" s="3" t="s">
        <v>93</v>
      </c>
      <c r="J47" s="3"/>
      <c r="L47" s="3"/>
      <c r="M47" s="3"/>
      <c r="N47" s="3"/>
      <c r="O47" s="3"/>
      <c r="P47" s="3"/>
      <c r="Q47" s="3"/>
      <c r="R47" s="3"/>
      <c r="S47" s="3"/>
      <c r="T47" s="3"/>
    </row>
    <row r="48" spans="1:1027" x14ac:dyDescent="0.25">
      <c r="A48" s="37" t="s">
        <v>887</v>
      </c>
      <c r="B48" s="3">
        <v>80</v>
      </c>
      <c r="C48" s="73" t="str">
        <f t="shared" si="0"/>
        <v>11</v>
      </c>
      <c r="D48" s="3" t="s">
        <v>140</v>
      </c>
      <c r="E48" s="3"/>
      <c r="F48" s="3">
        <v>0</v>
      </c>
      <c r="G48" s="3">
        <v>1</v>
      </c>
      <c r="H48" s="3"/>
      <c r="I48" s="3" t="s">
        <v>93</v>
      </c>
      <c r="J48" s="3"/>
      <c r="L48" s="3"/>
      <c r="M48" s="3"/>
      <c r="N48" s="3"/>
      <c r="O48" s="3"/>
      <c r="P48" s="3"/>
      <c r="Q48" s="3"/>
      <c r="R48" s="3"/>
      <c r="S48" s="3"/>
      <c r="T48" s="3"/>
    </row>
    <row r="49" spans="1:20" x14ac:dyDescent="0.25">
      <c r="A49" s="42" t="s">
        <v>343</v>
      </c>
      <c r="B49" s="3">
        <v>80</v>
      </c>
      <c r="C49" s="73" t="str">
        <f t="shared" si="0"/>
        <v>12</v>
      </c>
      <c r="D49" s="3" t="s">
        <v>140</v>
      </c>
      <c r="E49" s="3"/>
      <c r="F49" s="3">
        <v>0</v>
      </c>
      <c r="G49" s="3">
        <v>1</v>
      </c>
      <c r="H49" s="3"/>
      <c r="I49" s="3" t="s">
        <v>93</v>
      </c>
      <c r="J49" s="3"/>
      <c r="L49" s="3"/>
      <c r="M49" s="3"/>
      <c r="N49" s="3"/>
      <c r="O49" s="3"/>
      <c r="P49" s="3"/>
      <c r="Q49" s="3"/>
      <c r="R49" s="3"/>
      <c r="S49" s="3"/>
      <c r="T49" s="3"/>
    </row>
    <row r="50" spans="1:20" x14ac:dyDescent="0.25">
      <c r="A50" s="37" t="s">
        <v>499</v>
      </c>
      <c r="B50" s="3">
        <v>80</v>
      </c>
      <c r="C50" s="73" t="str">
        <f t="shared" si="0"/>
        <v>13</v>
      </c>
      <c r="D50" s="3" t="s">
        <v>137</v>
      </c>
      <c r="E50" s="3"/>
      <c r="F50" s="3">
        <v>0</v>
      </c>
      <c r="G50" s="3">
        <v>2</v>
      </c>
      <c r="H50" s="3"/>
      <c r="I50" s="3" t="s">
        <v>93</v>
      </c>
      <c r="J50" s="3"/>
      <c r="K50" s="3" t="s">
        <v>500</v>
      </c>
      <c r="L50" s="3"/>
      <c r="M50" s="3"/>
      <c r="N50" s="3"/>
      <c r="O50" s="3"/>
      <c r="P50" s="3"/>
      <c r="Q50" s="3"/>
      <c r="R50" s="3"/>
      <c r="S50" s="3"/>
      <c r="T50" s="3"/>
    </row>
    <row r="51" spans="1:20" x14ac:dyDescent="0.25">
      <c r="A51" s="21" t="s">
        <v>571</v>
      </c>
      <c r="B51" s="3">
        <v>80</v>
      </c>
      <c r="C51" s="73" t="str">
        <f t="shared" si="0"/>
        <v>14</v>
      </c>
      <c r="D51" s="3" t="s">
        <v>128</v>
      </c>
      <c r="E51" s="3"/>
      <c r="F51" s="3"/>
      <c r="G51" s="3"/>
      <c r="H51" s="3"/>
      <c r="I51" s="3"/>
      <c r="J51" s="3"/>
      <c r="L51" s="3"/>
      <c r="M51" s="3"/>
      <c r="N51" s="3"/>
      <c r="O51" s="3"/>
      <c r="P51" s="3"/>
      <c r="Q51" s="3"/>
      <c r="R51" s="3"/>
      <c r="S51" s="3"/>
      <c r="T51" s="3"/>
    </row>
    <row r="52" spans="1:20" x14ac:dyDescent="0.25">
      <c r="A52" s="21" t="s">
        <v>570</v>
      </c>
      <c r="B52" s="3">
        <v>80</v>
      </c>
      <c r="C52" s="73" t="str">
        <f t="shared" si="0"/>
        <v>15</v>
      </c>
      <c r="D52" s="3" t="s">
        <v>128</v>
      </c>
      <c r="E52" s="3"/>
      <c r="F52" s="3"/>
      <c r="G52" s="3"/>
      <c r="H52" s="3"/>
      <c r="I52" s="3"/>
      <c r="J52" s="3"/>
      <c r="L52" s="3"/>
      <c r="M52" s="3"/>
      <c r="N52" s="3"/>
      <c r="O52" s="3"/>
      <c r="P52" s="3"/>
      <c r="Q52" s="3"/>
      <c r="R52" s="3"/>
      <c r="S52" s="3"/>
      <c r="T52" s="3"/>
    </row>
    <row r="53" spans="1:20" x14ac:dyDescent="0.25">
      <c r="A53" s="21" t="s">
        <v>572</v>
      </c>
      <c r="B53" s="3">
        <v>80</v>
      </c>
      <c r="C53" s="73" t="str">
        <f t="shared" si="0"/>
        <v>16</v>
      </c>
      <c r="D53" s="3" t="s">
        <v>128</v>
      </c>
      <c r="E53" s="3"/>
      <c r="F53" s="3"/>
      <c r="G53" s="3"/>
      <c r="H53" s="3"/>
      <c r="I53" s="3"/>
      <c r="J53" s="3"/>
      <c r="L53" s="3"/>
      <c r="M53" s="3"/>
      <c r="N53" s="3"/>
      <c r="O53" s="3"/>
      <c r="P53" s="3"/>
      <c r="Q53" s="3"/>
      <c r="R53" s="3"/>
      <c r="S53" s="3"/>
      <c r="T53" s="3"/>
    </row>
    <row r="54" spans="1:20" x14ac:dyDescent="0.25">
      <c r="A54" s="21" t="s">
        <v>573</v>
      </c>
      <c r="B54" s="3">
        <v>80</v>
      </c>
      <c r="C54" s="73" t="str">
        <f t="shared" si="0"/>
        <v>17</v>
      </c>
      <c r="D54" s="3" t="s">
        <v>128</v>
      </c>
      <c r="E54" s="3"/>
      <c r="F54" s="3"/>
      <c r="G54" s="3"/>
      <c r="H54" s="3"/>
      <c r="I54" s="3"/>
      <c r="J54" s="3"/>
      <c r="L54" s="3"/>
      <c r="M54" s="3"/>
      <c r="N54" s="3"/>
      <c r="O54" s="3"/>
      <c r="P54" s="3"/>
      <c r="Q54" s="3"/>
      <c r="R54" s="3"/>
      <c r="S54" s="3"/>
      <c r="T54" s="3"/>
    </row>
    <row r="55" spans="1:20" x14ac:dyDescent="0.25">
      <c r="A55" s="37" t="s">
        <v>501</v>
      </c>
      <c r="B55" s="3">
        <v>80</v>
      </c>
      <c r="C55" s="73" t="str">
        <f t="shared" si="0"/>
        <v>18</v>
      </c>
      <c r="D55" s="3" t="s">
        <v>137</v>
      </c>
      <c r="E55" s="3"/>
      <c r="F55" s="3">
        <v>0</v>
      </c>
      <c r="G55" s="3">
        <v>2</v>
      </c>
      <c r="H55" s="3"/>
      <c r="I55" s="3" t="s">
        <v>93</v>
      </c>
      <c r="J55" s="3"/>
      <c r="K55" s="3" t="s">
        <v>500</v>
      </c>
      <c r="L55" s="3"/>
      <c r="M55" s="3"/>
      <c r="N55" s="3"/>
      <c r="O55" s="3"/>
      <c r="P55" s="3"/>
      <c r="Q55" s="3"/>
      <c r="R55" s="3"/>
      <c r="S55" s="3"/>
      <c r="T55" s="3"/>
    </row>
    <row r="56" spans="1:20" x14ac:dyDescent="0.25">
      <c r="A56" s="21" t="s">
        <v>528</v>
      </c>
      <c r="B56" s="3">
        <v>80</v>
      </c>
      <c r="C56" s="73" t="str">
        <f t="shared" si="0"/>
        <v>19</v>
      </c>
      <c r="D56" s="3" t="s">
        <v>128</v>
      </c>
      <c r="E56" s="3"/>
      <c r="F56" s="3"/>
      <c r="G56" s="3"/>
      <c r="H56" s="3"/>
      <c r="I56" s="3"/>
      <c r="J56" s="3"/>
      <c r="L56" s="3"/>
      <c r="M56" s="3"/>
      <c r="N56" s="3"/>
      <c r="O56" s="3"/>
      <c r="P56" s="3"/>
      <c r="Q56" s="3"/>
      <c r="R56" s="3"/>
      <c r="S56" s="3"/>
      <c r="T56" s="3"/>
    </row>
    <row r="57" spans="1:20" x14ac:dyDescent="0.25">
      <c r="A57" s="21" t="s">
        <v>529</v>
      </c>
      <c r="B57" s="3"/>
      <c r="C57" s="73" t="str">
        <f>DEC2HEX(HEX2DEC(C56)+1)</f>
        <v>1A</v>
      </c>
      <c r="D57" s="3"/>
      <c r="E57" s="3"/>
      <c r="F57" s="3"/>
      <c r="G57" s="3"/>
      <c r="H57" s="3"/>
      <c r="I57" s="3"/>
      <c r="J57" s="3"/>
      <c r="L57" s="3"/>
      <c r="M57" s="3"/>
      <c r="N57" s="3"/>
      <c r="O57" s="3"/>
      <c r="P57" s="3"/>
      <c r="Q57" s="3"/>
      <c r="R57" s="3"/>
      <c r="S57" s="3"/>
      <c r="T57" s="3"/>
    </row>
    <row r="58" spans="1:20" x14ac:dyDescent="0.25">
      <c r="A58" s="21" t="s">
        <v>530</v>
      </c>
      <c r="B58" s="3"/>
      <c r="C58" s="73" t="str">
        <f t="shared" si="0"/>
        <v>1B</v>
      </c>
      <c r="D58" s="3"/>
      <c r="E58" s="3"/>
      <c r="F58" s="3"/>
      <c r="G58" s="3"/>
      <c r="H58" s="3"/>
      <c r="I58" s="3"/>
      <c r="J58" s="3"/>
      <c r="L58" s="3"/>
      <c r="M58" s="3"/>
      <c r="N58" s="3"/>
      <c r="O58" s="3"/>
      <c r="P58" s="3"/>
      <c r="Q58" s="3"/>
      <c r="R58" s="3"/>
      <c r="S58" s="3"/>
      <c r="T58" s="3"/>
    </row>
    <row r="59" spans="1:20" x14ac:dyDescent="0.25">
      <c r="A59" s="37" t="s">
        <v>502</v>
      </c>
      <c r="B59" s="3">
        <v>80</v>
      </c>
      <c r="C59" s="73" t="str">
        <f t="shared" si="0"/>
        <v>1C</v>
      </c>
      <c r="D59" s="3" t="s">
        <v>137</v>
      </c>
      <c r="E59" s="3"/>
      <c r="F59" s="3">
        <v>0</v>
      </c>
      <c r="G59" s="3">
        <v>2</v>
      </c>
      <c r="H59" s="3"/>
      <c r="I59" s="3" t="s">
        <v>93</v>
      </c>
      <c r="J59" s="3"/>
      <c r="K59" s="3" t="s">
        <v>500</v>
      </c>
      <c r="L59" s="3"/>
      <c r="M59" s="3"/>
      <c r="N59" s="3"/>
      <c r="O59" s="3"/>
      <c r="P59" s="3"/>
      <c r="Q59" s="3"/>
      <c r="R59" s="3"/>
      <c r="S59" s="3"/>
      <c r="T59" s="3"/>
    </row>
    <row r="60" spans="1:20" x14ac:dyDescent="0.25">
      <c r="A60" s="21" t="s">
        <v>541</v>
      </c>
      <c r="B60" s="3">
        <v>80</v>
      </c>
      <c r="C60" s="73" t="str">
        <f t="shared" si="0"/>
        <v>1D</v>
      </c>
      <c r="D60" s="3" t="s">
        <v>128</v>
      </c>
      <c r="E60" s="3"/>
      <c r="F60" s="3"/>
      <c r="G60" s="3"/>
      <c r="H60" s="3"/>
      <c r="I60" s="3"/>
      <c r="J60" s="3"/>
      <c r="L60" s="3"/>
      <c r="M60" s="3"/>
      <c r="N60" s="3"/>
      <c r="O60" s="3"/>
      <c r="P60" s="3"/>
      <c r="Q60" s="3"/>
      <c r="R60" s="3"/>
      <c r="S60" s="3"/>
      <c r="T60" s="3"/>
    </row>
    <row r="61" spans="1:20" x14ac:dyDescent="0.25">
      <c r="A61" s="21" t="s">
        <v>542</v>
      </c>
      <c r="B61" s="3"/>
      <c r="C61" s="73" t="str">
        <f t="shared" si="0"/>
        <v>1E</v>
      </c>
      <c r="D61" s="3"/>
      <c r="E61" s="3"/>
      <c r="F61" s="3"/>
      <c r="G61" s="3"/>
      <c r="H61" s="3"/>
      <c r="I61" s="3"/>
      <c r="J61" s="3"/>
      <c r="L61" s="3"/>
      <c r="M61" s="3"/>
      <c r="N61" s="3"/>
      <c r="O61" s="3"/>
      <c r="P61" s="3"/>
      <c r="Q61" s="3"/>
      <c r="R61" s="3"/>
      <c r="S61" s="3"/>
      <c r="T61" s="3"/>
    </row>
    <row r="62" spans="1:20" x14ac:dyDescent="0.25">
      <c r="A62" s="21" t="s">
        <v>543</v>
      </c>
      <c r="B62" s="3"/>
      <c r="C62" s="73" t="str">
        <f t="shared" si="0"/>
        <v>1F</v>
      </c>
      <c r="D62" s="3"/>
      <c r="E62" s="3"/>
      <c r="F62" s="3"/>
      <c r="G62" s="3"/>
      <c r="H62" s="3"/>
      <c r="I62" s="3"/>
      <c r="J62" s="3"/>
      <c r="L62" s="3"/>
      <c r="M62" s="3"/>
      <c r="N62" s="3"/>
      <c r="O62" s="3"/>
      <c r="P62" s="3"/>
      <c r="Q62" s="3"/>
      <c r="R62" s="3"/>
      <c r="S62" s="3"/>
      <c r="T62" s="3"/>
    </row>
    <row r="63" spans="1:20" x14ac:dyDescent="0.25">
      <c r="A63" s="37" t="s">
        <v>503</v>
      </c>
      <c r="B63" s="3">
        <v>80</v>
      </c>
      <c r="C63" s="73" t="str">
        <f t="shared" si="0"/>
        <v>20</v>
      </c>
      <c r="D63" s="3" t="s">
        <v>137</v>
      </c>
      <c r="E63" s="3"/>
      <c r="F63" s="3">
        <v>0</v>
      </c>
      <c r="G63" s="3">
        <v>2</v>
      </c>
      <c r="H63" s="3"/>
      <c r="I63" s="3" t="s">
        <v>93</v>
      </c>
      <c r="J63" s="3"/>
      <c r="K63" s="3" t="s">
        <v>500</v>
      </c>
      <c r="L63" s="3"/>
      <c r="M63" s="3"/>
      <c r="N63" s="3"/>
      <c r="O63" s="3"/>
      <c r="P63" s="3"/>
      <c r="Q63" s="3"/>
      <c r="R63" s="3"/>
      <c r="S63" s="3"/>
      <c r="T63" s="3"/>
    </row>
    <row r="64" spans="1:20" x14ac:dyDescent="0.25">
      <c r="A64" s="21" t="s">
        <v>544</v>
      </c>
      <c r="B64" s="3">
        <v>80</v>
      </c>
      <c r="C64" s="73" t="str">
        <f t="shared" si="0"/>
        <v>21</v>
      </c>
      <c r="D64" s="3" t="s">
        <v>128</v>
      </c>
      <c r="E64" s="3"/>
      <c r="F64" s="3"/>
      <c r="G64" s="3"/>
      <c r="H64" s="3"/>
      <c r="I64" s="3"/>
      <c r="J64" s="3"/>
      <c r="L64" s="3"/>
      <c r="M64" s="3"/>
      <c r="N64" s="3"/>
      <c r="O64" s="3"/>
      <c r="P64" s="3"/>
      <c r="Q64" s="3"/>
      <c r="R64" s="3"/>
      <c r="S64" s="3"/>
      <c r="T64" s="3"/>
    </row>
    <row r="65" spans="1:20" x14ac:dyDescent="0.25">
      <c r="A65" s="21" t="s">
        <v>545</v>
      </c>
      <c r="B65" s="3"/>
      <c r="C65" s="73" t="str">
        <f t="shared" si="0"/>
        <v>22</v>
      </c>
      <c r="D65" s="3"/>
      <c r="E65" s="3"/>
      <c r="F65" s="3"/>
      <c r="G65" s="3"/>
      <c r="H65" s="3"/>
      <c r="I65" s="3"/>
      <c r="J65" s="3"/>
      <c r="L65" s="3"/>
      <c r="M65" s="3"/>
      <c r="N65" s="3"/>
      <c r="O65" s="3"/>
      <c r="P65" s="3"/>
      <c r="Q65" s="3"/>
      <c r="R65" s="3"/>
      <c r="S65" s="3"/>
      <c r="T65" s="3"/>
    </row>
    <row r="66" spans="1:20" x14ac:dyDescent="0.25">
      <c r="A66" s="21" t="s">
        <v>546</v>
      </c>
      <c r="B66" s="3"/>
      <c r="C66" s="73" t="str">
        <f t="shared" si="0"/>
        <v>23</v>
      </c>
      <c r="D66" s="3"/>
      <c r="E66" s="3"/>
      <c r="F66" s="3"/>
      <c r="G66" s="3"/>
      <c r="H66" s="3"/>
      <c r="I66" s="3"/>
      <c r="J66" s="3"/>
      <c r="L66" s="3"/>
      <c r="M66" s="3"/>
      <c r="N66" s="3"/>
      <c r="O66" s="3"/>
      <c r="P66" s="3"/>
      <c r="Q66" s="3"/>
      <c r="R66" s="3"/>
      <c r="S66" s="3"/>
      <c r="T66" s="3"/>
    </row>
    <row r="67" spans="1:20" x14ac:dyDescent="0.25">
      <c r="A67" s="37" t="s">
        <v>504</v>
      </c>
      <c r="B67" s="3">
        <v>80</v>
      </c>
      <c r="C67" s="73" t="str">
        <f t="shared" si="0"/>
        <v>24</v>
      </c>
      <c r="D67" s="3" t="s">
        <v>137</v>
      </c>
      <c r="E67" s="3"/>
      <c r="F67" s="3">
        <v>0</v>
      </c>
      <c r="G67" s="3">
        <v>2</v>
      </c>
      <c r="H67" s="3"/>
      <c r="I67" s="3" t="s">
        <v>93</v>
      </c>
      <c r="J67" s="3"/>
      <c r="K67" s="3" t="s">
        <v>500</v>
      </c>
      <c r="L67" s="3"/>
      <c r="M67" s="3"/>
      <c r="N67" s="3"/>
      <c r="O67" s="3"/>
      <c r="P67" s="3"/>
      <c r="Q67" s="3"/>
      <c r="R67" s="3"/>
      <c r="S67" s="3"/>
      <c r="T67" s="3"/>
    </row>
    <row r="68" spans="1:20" x14ac:dyDescent="0.25">
      <c r="A68" s="21" t="s">
        <v>547</v>
      </c>
      <c r="B68" s="3">
        <v>80</v>
      </c>
      <c r="C68" s="73" t="str">
        <f t="shared" si="0"/>
        <v>25</v>
      </c>
      <c r="D68" s="3" t="s">
        <v>128</v>
      </c>
      <c r="E68" s="3"/>
      <c r="F68" s="3"/>
      <c r="G68" s="3"/>
      <c r="H68" s="3"/>
      <c r="I68" s="3"/>
      <c r="J68" s="3"/>
      <c r="L68" s="3"/>
      <c r="M68" s="3"/>
      <c r="N68" s="3"/>
      <c r="O68" s="3"/>
      <c r="P68" s="3"/>
      <c r="Q68" s="3"/>
      <c r="R68" s="3"/>
      <c r="S68" s="3"/>
      <c r="T68" s="3"/>
    </row>
    <row r="69" spans="1:20" x14ac:dyDescent="0.25">
      <c r="A69" s="21" t="s">
        <v>548</v>
      </c>
      <c r="B69" s="3"/>
      <c r="C69" s="73" t="str">
        <f t="shared" si="0"/>
        <v>26</v>
      </c>
      <c r="D69" s="3"/>
      <c r="E69" s="3"/>
      <c r="F69" s="3"/>
      <c r="G69" s="3"/>
      <c r="H69" s="3"/>
      <c r="I69" s="3"/>
      <c r="J69" s="3"/>
      <c r="L69" s="3"/>
      <c r="M69" s="3"/>
      <c r="N69" s="3"/>
      <c r="O69" s="3"/>
      <c r="P69" s="3"/>
      <c r="Q69" s="3"/>
      <c r="R69" s="3"/>
      <c r="S69" s="3"/>
      <c r="T69" s="3"/>
    </row>
    <row r="70" spans="1:20" x14ac:dyDescent="0.25">
      <c r="A70" s="21" t="s">
        <v>549</v>
      </c>
      <c r="B70" s="3"/>
      <c r="C70" s="73" t="str">
        <f t="shared" si="0"/>
        <v>27</v>
      </c>
      <c r="D70" s="3"/>
      <c r="E70" s="3"/>
      <c r="F70" s="3"/>
      <c r="G70" s="3"/>
      <c r="H70" s="3"/>
      <c r="I70" s="3"/>
      <c r="J70" s="3"/>
      <c r="L70" s="3"/>
      <c r="M70" s="3"/>
      <c r="N70" s="3"/>
      <c r="O70" s="3"/>
      <c r="P70" s="3"/>
      <c r="Q70" s="3"/>
      <c r="R70" s="3"/>
      <c r="S70" s="3"/>
      <c r="T70" s="3"/>
    </row>
    <row r="71" spans="1:20" x14ac:dyDescent="0.25">
      <c r="A71" s="37" t="s">
        <v>505</v>
      </c>
      <c r="B71" s="3">
        <v>80</v>
      </c>
      <c r="C71" s="73" t="str">
        <f t="shared" si="0"/>
        <v>28</v>
      </c>
      <c r="D71" s="3" t="s">
        <v>137</v>
      </c>
      <c r="E71" s="3"/>
      <c r="F71" s="3">
        <v>0</v>
      </c>
      <c r="G71" s="3">
        <v>2</v>
      </c>
      <c r="H71" s="3"/>
      <c r="I71" s="3" t="s">
        <v>93</v>
      </c>
      <c r="J71" s="3"/>
      <c r="K71" s="3" t="s">
        <v>500</v>
      </c>
      <c r="L71" s="3"/>
      <c r="M71" s="3"/>
      <c r="N71" s="3"/>
      <c r="O71" s="3"/>
      <c r="P71" s="3"/>
      <c r="Q71" s="3"/>
      <c r="R71" s="3"/>
      <c r="S71" s="3"/>
      <c r="T71" s="3"/>
    </row>
    <row r="72" spans="1:20" x14ac:dyDescent="0.25">
      <c r="A72" s="21" t="s">
        <v>550</v>
      </c>
      <c r="B72" s="3">
        <v>80</v>
      </c>
      <c r="C72" s="73" t="str">
        <f>DEC2HEX(HEX2DEC(C71)+1)</f>
        <v>29</v>
      </c>
      <c r="D72" s="3" t="s">
        <v>128</v>
      </c>
      <c r="E72" s="3"/>
      <c r="F72" s="3"/>
      <c r="G72" s="3"/>
      <c r="H72" s="3"/>
      <c r="I72" s="3"/>
      <c r="J72" s="3"/>
      <c r="L72" s="3"/>
      <c r="M72" s="3"/>
      <c r="N72" s="3"/>
      <c r="O72" s="3"/>
      <c r="P72" s="3"/>
      <c r="Q72" s="3"/>
      <c r="R72" s="3"/>
      <c r="S72" s="3"/>
      <c r="T72" s="3"/>
    </row>
    <row r="73" spans="1:20" x14ac:dyDescent="0.25">
      <c r="A73" s="21" t="s">
        <v>551</v>
      </c>
      <c r="B73" s="3"/>
      <c r="C73" s="73" t="str">
        <f t="shared" si="0"/>
        <v>2A</v>
      </c>
      <c r="D73" s="3"/>
      <c r="E73" s="3"/>
      <c r="F73" s="3"/>
      <c r="G73" s="3"/>
      <c r="H73" s="3"/>
      <c r="I73" s="3"/>
      <c r="J73" s="3"/>
      <c r="L73" s="3"/>
      <c r="M73" s="3"/>
      <c r="N73" s="3"/>
      <c r="O73" s="3"/>
      <c r="P73" s="3"/>
      <c r="Q73" s="3"/>
      <c r="R73" s="3"/>
      <c r="S73" s="3"/>
      <c r="T73" s="3"/>
    </row>
    <row r="74" spans="1:20" x14ac:dyDescent="0.25">
      <c r="A74" s="21" t="s">
        <v>552</v>
      </c>
      <c r="B74" s="3"/>
      <c r="C74" s="73" t="str">
        <f t="shared" si="0"/>
        <v>2B</v>
      </c>
      <c r="D74" s="3"/>
      <c r="E74" s="3"/>
      <c r="F74" s="3"/>
      <c r="G74" s="3"/>
      <c r="H74" s="3"/>
      <c r="I74" s="3"/>
      <c r="J74" s="3"/>
      <c r="L74" s="3"/>
      <c r="M74" s="3"/>
      <c r="N74" s="3"/>
      <c r="O74" s="3"/>
      <c r="P74" s="3"/>
      <c r="Q74" s="3"/>
      <c r="R74" s="3"/>
      <c r="S74" s="3"/>
      <c r="T74" s="3"/>
    </row>
    <row r="75" spans="1:20" x14ac:dyDescent="0.25">
      <c r="A75" s="37" t="s">
        <v>506</v>
      </c>
      <c r="B75" s="3">
        <v>80</v>
      </c>
      <c r="C75" s="73" t="str">
        <f t="shared" si="0"/>
        <v>2C</v>
      </c>
      <c r="D75" s="3" t="s">
        <v>137</v>
      </c>
      <c r="E75" s="3"/>
      <c r="F75" s="3">
        <v>0</v>
      </c>
      <c r="G75" s="3">
        <v>2</v>
      </c>
      <c r="H75" s="3"/>
      <c r="I75" s="3" t="s">
        <v>93</v>
      </c>
      <c r="J75" s="3"/>
      <c r="K75" s="3" t="s">
        <v>500</v>
      </c>
      <c r="L75" s="3"/>
      <c r="M75" s="3"/>
      <c r="N75" s="3"/>
      <c r="O75" s="3"/>
      <c r="P75" s="3"/>
      <c r="Q75" s="3"/>
      <c r="R75" s="3"/>
      <c r="S75" s="3"/>
      <c r="T75" s="3"/>
    </row>
    <row r="76" spans="1:20" x14ac:dyDescent="0.25">
      <c r="A76" s="21" t="s">
        <v>553</v>
      </c>
      <c r="B76" s="3">
        <v>80</v>
      </c>
      <c r="C76" s="73" t="str">
        <f t="shared" si="0"/>
        <v>2D</v>
      </c>
      <c r="D76" s="3" t="s">
        <v>128</v>
      </c>
      <c r="E76" s="3"/>
      <c r="F76" s="3"/>
      <c r="G76" s="3"/>
      <c r="H76" s="3"/>
      <c r="I76" s="3"/>
      <c r="J76" s="3"/>
      <c r="L76" s="3"/>
      <c r="M76" s="3"/>
      <c r="N76" s="3"/>
      <c r="O76" s="3"/>
      <c r="P76" s="3"/>
      <c r="Q76" s="3"/>
      <c r="R76" s="3"/>
      <c r="S76" s="3"/>
      <c r="T76" s="3"/>
    </row>
    <row r="77" spans="1:20" x14ac:dyDescent="0.25">
      <c r="A77" s="21" t="s">
        <v>554</v>
      </c>
      <c r="B77" s="3"/>
      <c r="C77" s="73" t="str">
        <f t="shared" si="0"/>
        <v>2E</v>
      </c>
      <c r="D77" s="3"/>
      <c r="E77" s="3"/>
      <c r="F77" s="3"/>
      <c r="G77" s="3"/>
      <c r="H77" s="3"/>
      <c r="I77" s="3"/>
      <c r="J77" s="3"/>
      <c r="L77" s="3"/>
      <c r="M77" s="3"/>
      <c r="N77" s="3"/>
      <c r="O77" s="3"/>
      <c r="P77" s="3"/>
      <c r="Q77" s="3"/>
      <c r="R77" s="3"/>
      <c r="S77" s="3"/>
      <c r="T77" s="3"/>
    </row>
    <row r="78" spans="1:20" x14ac:dyDescent="0.25">
      <c r="A78" s="21" t="s">
        <v>555</v>
      </c>
      <c r="B78" s="3"/>
      <c r="C78" s="73" t="str">
        <f t="shared" si="0"/>
        <v>2F</v>
      </c>
      <c r="D78" s="3"/>
      <c r="E78" s="3"/>
      <c r="F78" s="3"/>
      <c r="G78" s="3"/>
      <c r="H78" s="3"/>
      <c r="I78" s="3"/>
      <c r="J78" s="3"/>
      <c r="L78" s="3"/>
      <c r="M78" s="3"/>
      <c r="N78" s="3"/>
      <c r="O78" s="3"/>
      <c r="P78" s="3"/>
      <c r="Q78" s="3"/>
      <c r="R78" s="3"/>
      <c r="S78" s="3"/>
      <c r="T78" s="3"/>
    </row>
    <row r="79" spans="1:20" x14ac:dyDescent="0.25">
      <c r="A79" s="37" t="s">
        <v>507</v>
      </c>
      <c r="B79" s="3">
        <v>80</v>
      </c>
      <c r="C79" s="73" t="str">
        <f t="shared" si="0"/>
        <v>30</v>
      </c>
      <c r="D79" s="3" t="s">
        <v>137</v>
      </c>
      <c r="E79" s="3"/>
      <c r="F79" s="3">
        <v>0</v>
      </c>
      <c r="G79" s="3">
        <v>2</v>
      </c>
      <c r="H79" s="3"/>
      <c r="I79" s="3" t="s">
        <v>93</v>
      </c>
      <c r="J79" s="3"/>
      <c r="K79" s="3" t="s">
        <v>500</v>
      </c>
      <c r="L79" s="3"/>
      <c r="M79" s="3"/>
      <c r="N79" s="3"/>
      <c r="O79" s="3"/>
      <c r="P79" s="3"/>
      <c r="Q79" s="3"/>
      <c r="R79" s="3"/>
      <c r="S79" s="3"/>
      <c r="T79" s="3"/>
    </row>
    <row r="80" spans="1:20" x14ac:dyDescent="0.25">
      <c r="A80" s="21" t="s">
        <v>556</v>
      </c>
      <c r="B80" s="3">
        <v>80</v>
      </c>
      <c r="C80" s="73" t="str">
        <f t="shared" si="0"/>
        <v>31</v>
      </c>
      <c r="D80" s="3" t="s">
        <v>128</v>
      </c>
      <c r="E80" s="3"/>
      <c r="F80" s="3"/>
      <c r="G80" s="3"/>
      <c r="H80" s="3"/>
      <c r="I80" s="3"/>
      <c r="J80" s="3"/>
      <c r="L80" s="3"/>
      <c r="M80" s="3"/>
      <c r="N80" s="3"/>
      <c r="O80" s="3"/>
      <c r="P80" s="3"/>
      <c r="Q80" s="3"/>
      <c r="R80" s="3"/>
      <c r="S80" s="3"/>
      <c r="T80" s="3"/>
    </row>
    <row r="81" spans="1:20" x14ac:dyDescent="0.25">
      <c r="A81" s="21" t="s">
        <v>557</v>
      </c>
      <c r="B81" s="3"/>
      <c r="C81" s="73" t="str">
        <f t="shared" si="0"/>
        <v>32</v>
      </c>
      <c r="D81" s="3"/>
      <c r="E81" s="3"/>
      <c r="F81" s="3"/>
      <c r="G81" s="3"/>
      <c r="H81" s="3"/>
      <c r="I81" s="3"/>
      <c r="J81" s="3"/>
      <c r="L81" s="3"/>
      <c r="M81" s="3"/>
      <c r="N81" s="3"/>
      <c r="O81" s="3"/>
      <c r="P81" s="3"/>
      <c r="Q81" s="3"/>
      <c r="R81" s="3"/>
      <c r="S81" s="3"/>
      <c r="T81" s="3"/>
    </row>
    <row r="82" spans="1:20" x14ac:dyDescent="0.25">
      <c r="A82" s="21" t="s">
        <v>558</v>
      </c>
      <c r="B82" s="3"/>
      <c r="C82" s="73" t="str">
        <f t="shared" si="0"/>
        <v>33</v>
      </c>
      <c r="D82" s="3"/>
      <c r="E82" s="3"/>
      <c r="F82" s="3"/>
      <c r="G82" s="3"/>
      <c r="H82" s="3"/>
      <c r="I82" s="3"/>
      <c r="J82" s="3"/>
      <c r="L82" s="3"/>
      <c r="M82" s="3"/>
      <c r="N82" s="3"/>
      <c r="O82" s="3"/>
      <c r="P82" s="3"/>
      <c r="Q82" s="3"/>
      <c r="R82" s="3"/>
      <c r="S82" s="3"/>
      <c r="T82" s="3"/>
    </row>
    <row r="83" spans="1:20" x14ac:dyDescent="0.25">
      <c r="A83" s="37" t="s">
        <v>508</v>
      </c>
      <c r="B83" s="3">
        <v>80</v>
      </c>
      <c r="C83" s="73" t="str">
        <f t="shared" si="0"/>
        <v>34</v>
      </c>
      <c r="D83" s="3" t="s">
        <v>137</v>
      </c>
      <c r="E83" s="3"/>
      <c r="F83" s="3">
        <v>0</v>
      </c>
      <c r="G83" s="3">
        <v>2</v>
      </c>
      <c r="H83" s="3"/>
      <c r="I83" s="3" t="s">
        <v>93</v>
      </c>
      <c r="J83" s="3"/>
      <c r="K83" s="3" t="s">
        <v>500</v>
      </c>
      <c r="L83" s="3"/>
      <c r="M83" s="3"/>
      <c r="N83" s="3"/>
      <c r="O83" s="3"/>
      <c r="P83" s="3"/>
      <c r="Q83" s="3"/>
      <c r="R83" s="3"/>
      <c r="S83" s="3"/>
      <c r="T83" s="3"/>
    </row>
    <row r="84" spans="1:20" x14ac:dyDescent="0.25">
      <c r="A84" s="21" t="s">
        <v>559</v>
      </c>
      <c r="B84" s="3">
        <v>80</v>
      </c>
      <c r="C84" s="73" t="str">
        <f t="shared" si="0"/>
        <v>35</v>
      </c>
      <c r="D84" s="3" t="s">
        <v>128</v>
      </c>
      <c r="E84" s="3"/>
      <c r="F84" s="3"/>
      <c r="G84" s="3"/>
      <c r="H84" s="3"/>
      <c r="I84" s="3"/>
      <c r="J84" s="3"/>
      <c r="L84" s="3"/>
      <c r="M84" s="3"/>
      <c r="N84" s="3"/>
      <c r="O84" s="3"/>
      <c r="P84" s="3"/>
      <c r="Q84" s="3"/>
      <c r="R84" s="3"/>
      <c r="S84" s="3"/>
      <c r="T84" s="3"/>
    </row>
    <row r="85" spans="1:20" x14ac:dyDescent="0.25">
      <c r="A85" s="21" t="s">
        <v>560</v>
      </c>
      <c r="B85" s="3"/>
      <c r="C85" s="73" t="str">
        <f t="shared" si="0"/>
        <v>36</v>
      </c>
      <c r="D85" s="3"/>
      <c r="E85" s="3"/>
      <c r="F85" s="3"/>
      <c r="G85" s="3"/>
      <c r="H85" s="3"/>
      <c r="I85" s="3"/>
      <c r="J85" s="3"/>
      <c r="L85" s="3"/>
      <c r="M85" s="3"/>
      <c r="N85" s="3"/>
      <c r="O85" s="3"/>
      <c r="P85" s="3"/>
      <c r="Q85" s="3"/>
      <c r="R85" s="3"/>
      <c r="S85" s="3"/>
      <c r="T85" s="3"/>
    </row>
    <row r="86" spans="1:20" x14ac:dyDescent="0.25">
      <c r="A86" s="21" t="s">
        <v>561</v>
      </c>
      <c r="B86" s="3"/>
      <c r="C86" s="73" t="str">
        <f t="shared" si="0"/>
        <v>37</v>
      </c>
      <c r="D86" s="3"/>
      <c r="E86" s="3"/>
      <c r="F86" s="3"/>
      <c r="G86" s="3"/>
      <c r="H86" s="3"/>
      <c r="I86" s="3"/>
      <c r="J86" s="3"/>
      <c r="L86" s="3"/>
      <c r="M86" s="3"/>
      <c r="N86" s="3"/>
      <c r="O86" s="3"/>
      <c r="P86" s="3"/>
      <c r="Q86" s="3"/>
      <c r="R86" s="3"/>
      <c r="S86" s="3"/>
      <c r="T86" s="3"/>
    </row>
    <row r="87" spans="1:20" x14ac:dyDescent="0.25">
      <c r="A87" s="54" t="s">
        <v>509</v>
      </c>
      <c r="B87" s="3">
        <v>80</v>
      </c>
      <c r="C87" s="73" t="str">
        <f t="shared" si="0"/>
        <v>38</v>
      </c>
      <c r="D87" s="3" t="s">
        <v>137</v>
      </c>
      <c r="E87" s="3"/>
      <c r="F87" s="3">
        <v>0</v>
      </c>
      <c r="G87" s="3">
        <v>2</v>
      </c>
      <c r="H87" s="3"/>
      <c r="I87" s="3" t="s">
        <v>93</v>
      </c>
      <c r="J87" s="3"/>
      <c r="K87" s="3" t="s">
        <v>500</v>
      </c>
      <c r="L87" s="3"/>
      <c r="M87" s="3"/>
      <c r="N87" s="3"/>
      <c r="O87" s="3"/>
      <c r="P87" s="3"/>
      <c r="Q87" s="3"/>
      <c r="R87" s="3"/>
      <c r="S87" s="3"/>
      <c r="T87" s="3"/>
    </row>
    <row r="88" spans="1:20" x14ac:dyDescent="0.25">
      <c r="A88" s="21" t="s">
        <v>562</v>
      </c>
      <c r="B88" s="3">
        <v>80</v>
      </c>
      <c r="C88" s="73" t="str">
        <f t="shared" si="0"/>
        <v>39</v>
      </c>
      <c r="D88" s="3" t="s">
        <v>128</v>
      </c>
      <c r="E88" s="3"/>
      <c r="F88" s="3"/>
      <c r="G88" s="3"/>
      <c r="H88" s="3"/>
      <c r="I88" s="3"/>
      <c r="J88" s="3"/>
      <c r="L88" s="3"/>
      <c r="M88" s="3"/>
      <c r="N88" s="3"/>
      <c r="O88" s="3"/>
      <c r="P88" s="3"/>
      <c r="Q88" s="3"/>
      <c r="R88" s="3"/>
      <c r="S88" s="3"/>
      <c r="T88" s="3"/>
    </row>
    <row r="89" spans="1:20" x14ac:dyDescent="0.25">
      <c r="A89" s="21" t="s">
        <v>563</v>
      </c>
      <c r="B89" s="3"/>
      <c r="C89" s="73" t="str">
        <f t="shared" si="0"/>
        <v>3A</v>
      </c>
      <c r="D89" s="3"/>
      <c r="E89" s="3"/>
      <c r="F89" s="3"/>
      <c r="G89" s="3"/>
      <c r="H89" s="3"/>
      <c r="I89" s="3"/>
      <c r="J89" s="3"/>
      <c r="L89" s="3"/>
      <c r="M89" s="3"/>
      <c r="N89" s="3"/>
      <c r="O89" s="3"/>
      <c r="P89" s="3"/>
      <c r="Q89" s="3"/>
      <c r="R89" s="3"/>
      <c r="S89" s="3"/>
      <c r="T89" s="3"/>
    </row>
    <row r="90" spans="1:20" x14ac:dyDescent="0.25">
      <c r="A90" s="21" t="s">
        <v>564</v>
      </c>
      <c r="B90" s="3"/>
      <c r="C90" s="73" t="str">
        <f t="shared" si="0"/>
        <v>3B</v>
      </c>
      <c r="D90" s="3"/>
      <c r="E90" s="3"/>
      <c r="F90" s="3"/>
      <c r="G90" s="3"/>
      <c r="H90" s="3"/>
      <c r="I90" s="3"/>
      <c r="J90" s="3"/>
      <c r="L90" s="3"/>
      <c r="M90" s="3"/>
      <c r="N90" s="3"/>
      <c r="O90" s="3"/>
      <c r="P90" s="3"/>
      <c r="Q90" s="3"/>
      <c r="R90" s="3"/>
      <c r="S90" s="3"/>
      <c r="T90" s="3"/>
    </row>
    <row r="91" spans="1:20" x14ac:dyDescent="0.25">
      <c r="A91" s="54" t="s">
        <v>510</v>
      </c>
      <c r="B91" s="3">
        <v>80</v>
      </c>
      <c r="C91" s="73" t="str">
        <f>DEC2HEX(HEX2DEC(C90)+1)</f>
        <v>3C</v>
      </c>
      <c r="D91" s="3" t="s">
        <v>137</v>
      </c>
      <c r="E91" s="3"/>
      <c r="F91" s="3">
        <v>0</v>
      </c>
      <c r="G91" s="3">
        <v>2</v>
      </c>
      <c r="H91" s="3"/>
      <c r="I91" s="3" t="s">
        <v>93</v>
      </c>
      <c r="J91" s="3"/>
      <c r="K91" s="3" t="s">
        <v>500</v>
      </c>
      <c r="L91" s="3"/>
      <c r="M91" s="3"/>
      <c r="N91" s="3"/>
      <c r="O91" s="3"/>
      <c r="P91" s="3"/>
      <c r="Q91" s="3"/>
      <c r="R91" s="3"/>
      <c r="S91" s="3"/>
      <c r="T91" s="3"/>
    </row>
    <row r="92" spans="1:20" x14ac:dyDescent="0.25">
      <c r="A92" s="21" t="s">
        <v>565</v>
      </c>
      <c r="B92" s="3">
        <v>80</v>
      </c>
      <c r="C92" s="73" t="str">
        <f t="shared" si="0"/>
        <v>3D</v>
      </c>
      <c r="D92" s="3" t="s">
        <v>128</v>
      </c>
      <c r="E92" s="3"/>
      <c r="F92" s="3"/>
      <c r="G92" s="3"/>
      <c r="H92" s="3"/>
      <c r="I92" s="3"/>
      <c r="J92" s="3"/>
      <c r="L92" s="3"/>
      <c r="M92" s="3"/>
      <c r="N92" s="3"/>
      <c r="O92" s="3"/>
      <c r="P92" s="3"/>
      <c r="Q92" s="3"/>
      <c r="R92" s="3"/>
      <c r="S92" s="3"/>
      <c r="T92" s="3"/>
    </row>
    <row r="93" spans="1:20" x14ac:dyDescent="0.25">
      <c r="A93" s="21" t="s">
        <v>566</v>
      </c>
      <c r="B93" s="3"/>
      <c r="C93" s="73" t="str">
        <f t="shared" si="0"/>
        <v>3E</v>
      </c>
      <c r="D93" s="3"/>
      <c r="E93" s="3"/>
      <c r="F93" s="3"/>
      <c r="G93" s="3"/>
      <c r="H93" s="3"/>
      <c r="I93" s="3"/>
      <c r="J93" s="3"/>
      <c r="L93" s="3"/>
      <c r="M93" s="3"/>
      <c r="N93" s="3"/>
      <c r="O93" s="3"/>
      <c r="P93" s="3"/>
      <c r="Q93" s="3"/>
      <c r="R93" s="3"/>
      <c r="S93" s="3"/>
      <c r="T93" s="3"/>
    </row>
    <row r="94" spans="1:20" x14ac:dyDescent="0.25">
      <c r="A94" s="21" t="s">
        <v>567</v>
      </c>
      <c r="B94" s="3"/>
      <c r="C94" s="73" t="str">
        <f t="shared" si="0"/>
        <v>3F</v>
      </c>
      <c r="D94" s="3"/>
      <c r="E94" s="3"/>
      <c r="F94" s="3"/>
      <c r="G94" s="3"/>
      <c r="H94" s="3"/>
      <c r="I94" s="3"/>
      <c r="J94" s="3"/>
      <c r="L94" s="3"/>
      <c r="M94" s="3"/>
      <c r="N94" s="3"/>
      <c r="O94" s="3"/>
      <c r="P94" s="3"/>
      <c r="Q94" s="3"/>
      <c r="R94" s="3"/>
      <c r="S94" s="3"/>
      <c r="T94" s="3"/>
    </row>
    <row r="95" spans="1:20" x14ac:dyDescent="0.25">
      <c r="A95" s="50" t="s">
        <v>167</v>
      </c>
      <c r="B95" s="3">
        <v>80</v>
      </c>
      <c r="C95" s="73" t="str">
        <f t="shared" si="0"/>
        <v>40</v>
      </c>
      <c r="D95" s="3" t="s">
        <v>240</v>
      </c>
      <c r="E95" s="3"/>
      <c r="F95" s="3"/>
      <c r="G95" s="3"/>
      <c r="H95" s="3"/>
      <c r="I95" s="3"/>
      <c r="J95" s="3"/>
      <c r="L95" s="3"/>
      <c r="M95" s="3"/>
      <c r="N95" s="3"/>
      <c r="O95" s="3"/>
      <c r="P95" s="3"/>
      <c r="Q95" s="3"/>
      <c r="R95" s="3"/>
      <c r="S95" s="3"/>
      <c r="T95" s="3"/>
    </row>
    <row r="96" spans="1:20" x14ac:dyDescent="0.25">
      <c r="A96" s="37" t="s">
        <v>574</v>
      </c>
      <c r="B96" s="3">
        <v>80</v>
      </c>
      <c r="C96" s="73" t="str">
        <f t="shared" si="0"/>
        <v>41</v>
      </c>
      <c r="D96" s="3" t="s">
        <v>137</v>
      </c>
      <c r="E96" s="3"/>
      <c r="F96" s="3">
        <v>0</v>
      </c>
      <c r="G96" s="3">
        <v>7</v>
      </c>
      <c r="H96" s="3"/>
      <c r="I96" s="3" t="s">
        <v>93</v>
      </c>
      <c r="J96" s="3"/>
      <c r="K96" s="3" t="s">
        <v>581</v>
      </c>
      <c r="L96" s="3"/>
      <c r="M96" s="3"/>
      <c r="N96" s="3"/>
      <c r="O96" s="3"/>
      <c r="P96" s="3"/>
      <c r="Q96" s="3"/>
      <c r="R96" s="3"/>
      <c r="S96" s="3"/>
      <c r="T96" s="3"/>
    </row>
    <row r="97" spans="1:20" x14ac:dyDescent="0.25">
      <c r="A97" s="43" t="s">
        <v>568</v>
      </c>
      <c r="B97" s="3">
        <v>80</v>
      </c>
      <c r="C97" s="73" t="str">
        <f t="shared" si="0"/>
        <v>42</v>
      </c>
      <c r="D97" s="3"/>
      <c r="E97" s="3"/>
      <c r="F97" s="3"/>
      <c r="G97" s="3"/>
      <c r="H97" s="3"/>
      <c r="I97" s="3"/>
      <c r="J97" s="3" t="s">
        <v>479</v>
      </c>
      <c r="L97" s="3"/>
      <c r="M97" s="3"/>
      <c r="N97" s="3"/>
      <c r="O97" s="3"/>
      <c r="P97" s="3"/>
      <c r="Q97" s="3"/>
      <c r="R97" s="3"/>
      <c r="S97" s="3"/>
      <c r="T97" s="3"/>
    </row>
    <row r="98" spans="1:20" x14ac:dyDescent="0.25">
      <c r="A98" s="43" t="s">
        <v>531</v>
      </c>
      <c r="B98" s="3">
        <v>80</v>
      </c>
      <c r="C98" s="73" t="str">
        <f t="shared" si="0"/>
        <v>43</v>
      </c>
      <c r="D98" s="3"/>
      <c r="E98" s="3"/>
      <c r="F98" s="3"/>
      <c r="G98" s="3"/>
      <c r="H98" s="3"/>
      <c r="I98" s="3"/>
      <c r="J98" s="3" t="s">
        <v>479</v>
      </c>
      <c r="L98" s="3"/>
      <c r="M98" s="3"/>
      <c r="N98" s="3"/>
      <c r="O98" s="3"/>
      <c r="P98" s="3"/>
      <c r="Q98" s="3"/>
      <c r="R98" s="3"/>
      <c r="S98" s="3"/>
      <c r="T98" s="3"/>
    </row>
    <row r="99" spans="1:20" x14ac:dyDescent="0.25">
      <c r="A99" s="43" t="s">
        <v>532</v>
      </c>
      <c r="B99" s="3">
        <v>80</v>
      </c>
      <c r="C99" s="73" t="str">
        <f t="shared" ref="C99:C104" si="1">DEC2HEX(HEX2DEC(C98)+1)</f>
        <v>44</v>
      </c>
      <c r="D99" s="3"/>
      <c r="E99" s="3"/>
      <c r="F99" s="3"/>
      <c r="G99" s="3"/>
      <c r="H99" s="3"/>
      <c r="I99" s="3"/>
      <c r="J99" s="3" t="s">
        <v>479</v>
      </c>
      <c r="L99" s="3"/>
      <c r="M99" s="3"/>
      <c r="N99" s="3"/>
      <c r="O99" s="3"/>
      <c r="P99" s="3"/>
      <c r="Q99" s="3"/>
      <c r="R99" s="3"/>
      <c r="S99" s="3"/>
      <c r="T99" s="3"/>
    </row>
    <row r="100" spans="1:20" x14ac:dyDescent="0.25">
      <c r="A100" s="43" t="s">
        <v>533</v>
      </c>
      <c r="B100" s="3">
        <v>80</v>
      </c>
      <c r="C100" s="73" t="str">
        <f t="shared" si="1"/>
        <v>45</v>
      </c>
      <c r="D100" s="3"/>
      <c r="E100" s="3"/>
      <c r="F100" s="3"/>
      <c r="G100" s="3"/>
      <c r="H100" s="3"/>
      <c r="I100" s="3"/>
      <c r="J100" s="3" t="s">
        <v>479</v>
      </c>
      <c r="L100" s="3"/>
      <c r="M100" s="3"/>
      <c r="N100" s="3"/>
      <c r="O100" s="3"/>
      <c r="P100" s="3"/>
      <c r="Q100" s="3"/>
      <c r="R100" s="3"/>
      <c r="S100" s="3"/>
      <c r="T100" s="3"/>
    </row>
    <row r="101" spans="1:20" x14ac:dyDescent="0.25">
      <c r="A101" s="43" t="s">
        <v>534</v>
      </c>
      <c r="B101" s="3">
        <v>80</v>
      </c>
      <c r="C101" s="73" t="str">
        <f t="shared" si="1"/>
        <v>46</v>
      </c>
      <c r="D101" s="3"/>
      <c r="E101" s="3"/>
      <c r="F101" s="3"/>
      <c r="G101" s="3"/>
      <c r="H101" s="3"/>
      <c r="I101" s="3"/>
      <c r="J101" s="3" t="s">
        <v>479</v>
      </c>
      <c r="L101" s="3"/>
      <c r="M101" s="3"/>
      <c r="N101" s="3"/>
      <c r="O101" s="3"/>
      <c r="P101" s="3"/>
      <c r="Q101" s="3"/>
      <c r="R101" s="3"/>
      <c r="S101" s="3"/>
      <c r="T101" s="3"/>
    </row>
    <row r="102" spans="1:20" x14ac:dyDescent="0.25">
      <c r="A102" s="43" t="s">
        <v>535</v>
      </c>
      <c r="B102" s="3">
        <v>80</v>
      </c>
      <c r="C102" s="73" t="str">
        <f t="shared" si="1"/>
        <v>47</v>
      </c>
      <c r="D102" s="3"/>
      <c r="E102" s="3"/>
      <c r="F102" s="3"/>
      <c r="G102" s="3"/>
      <c r="H102" s="3"/>
      <c r="I102" s="3"/>
      <c r="J102" s="3" t="s">
        <v>479</v>
      </c>
      <c r="L102" s="3"/>
      <c r="M102" s="3"/>
      <c r="N102" s="3"/>
      <c r="O102" s="3"/>
      <c r="P102" s="3"/>
      <c r="Q102" s="3"/>
      <c r="R102" s="3"/>
      <c r="S102" s="3"/>
      <c r="T102" s="3"/>
    </row>
    <row r="103" spans="1:20" x14ac:dyDescent="0.25">
      <c r="A103" s="43" t="s">
        <v>536</v>
      </c>
      <c r="B103" s="3">
        <v>80</v>
      </c>
      <c r="C103" s="73" t="str">
        <f t="shared" si="1"/>
        <v>48</v>
      </c>
      <c r="D103" s="3"/>
      <c r="E103" s="3"/>
      <c r="F103" s="3"/>
      <c r="G103" s="3"/>
      <c r="H103" s="3"/>
      <c r="I103" s="3"/>
      <c r="J103" s="3" t="s">
        <v>479</v>
      </c>
      <c r="L103" s="3"/>
      <c r="M103" s="3"/>
      <c r="N103" s="3"/>
      <c r="O103" s="3"/>
      <c r="P103" s="3"/>
      <c r="Q103" s="3"/>
      <c r="R103" s="3"/>
      <c r="S103" s="3"/>
      <c r="T103" s="3"/>
    </row>
    <row r="104" spans="1:20" x14ac:dyDescent="0.25">
      <c r="A104" s="43" t="s">
        <v>537</v>
      </c>
      <c r="B104" s="3">
        <v>80</v>
      </c>
      <c r="C104" s="73" t="str">
        <f t="shared" si="1"/>
        <v>49</v>
      </c>
      <c r="D104" s="3"/>
      <c r="E104" s="3"/>
      <c r="F104" s="3"/>
      <c r="G104" s="3"/>
      <c r="H104" s="3"/>
      <c r="I104" s="3"/>
      <c r="J104" s="3" t="s">
        <v>479</v>
      </c>
      <c r="L104" s="3"/>
      <c r="M104" s="3"/>
      <c r="N104" s="3"/>
      <c r="O104" s="3"/>
      <c r="P104" s="3"/>
      <c r="Q104" s="3"/>
      <c r="R104" s="3"/>
      <c r="S104" s="3"/>
      <c r="T104" s="3"/>
    </row>
    <row r="105" spans="1:20" x14ac:dyDescent="0.25">
      <c r="A105" s="43" t="s">
        <v>538</v>
      </c>
      <c r="B105" s="3">
        <v>80</v>
      </c>
      <c r="C105" s="73" t="str">
        <f>DEC2HEX(HEX2DEC(C104)+1)</f>
        <v>4A</v>
      </c>
      <c r="D105" s="3"/>
      <c r="E105" s="3"/>
      <c r="F105" s="3"/>
      <c r="G105" s="3"/>
      <c r="H105" s="3"/>
      <c r="I105" s="3"/>
      <c r="J105" s="3" t="s">
        <v>479</v>
      </c>
      <c r="L105" s="3"/>
      <c r="M105" s="3"/>
      <c r="N105" s="3"/>
      <c r="O105" s="3"/>
      <c r="P105" s="3"/>
      <c r="Q105" s="3"/>
      <c r="R105" s="3"/>
      <c r="S105" s="3"/>
      <c r="T105" s="3"/>
    </row>
    <row r="106" spans="1:20" x14ac:dyDescent="0.25">
      <c r="A106" s="54" t="s">
        <v>539</v>
      </c>
      <c r="B106" s="3">
        <v>80</v>
      </c>
      <c r="C106" s="73" t="str">
        <f t="shared" ref="C106:C117" si="2">DEC2HEX(HEX2DEC(C105)+1)</f>
        <v>4B</v>
      </c>
      <c r="D106" s="3"/>
      <c r="E106" s="3"/>
      <c r="F106" s="3"/>
      <c r="G106" s="3"/>
      <c r="H106" s="3"/>
      <c r="I106" s="3"/>
      <c r="J106" s="3" t="s">
        <v>479</v>
      </c>
      <c r="L106" s="3"/>
      <c r="M106" s="3"/>
      <c r="N106" s="3"/>
      <c r="O106" s="3"/>
      <c r="P106" s="3"/>
      <c r="Q106" s="3"/>
      <c r="R106" s="3"/>
      <c r="S106" s="3"/>
      <c r="T106" s="3"/>
    </row>
    <row r="107" spans="1:20" x14ac:dyDescent="0.25">
      <c r="A107" s="54" t="s">
        <v>540</v>
      </c>
      <c r="B107" s="3">
        <v>80</v>
      </c>
      <c r="C107" s="73" t="str">
        <f t="shared" si="2"/>
        <v>4C</v>
      </c>
      <c r="D107" s="3"/>
      <c r="E107" s="3"/>
      <c r="F107" s="3"/>
      <c r="G107" s="3"/>
      <c r="H107" s="3"/>
      <c r="I107" s="3"/>
      <c r="J107" s="3" t="s">
        <v>479</v>
      </c>
      <c r="L107" s="3"/>
      <c r="M107" s="3"/>
      <c r="N107" s="3"/>
      <c r="O107" s="3"/>
      <c r="P107" s="3"/>
      <c r="Q107" s="3"/>
      <c r="R107" s="3"/>
      <c r="S107" s="3"/>
      <c r="T107" s="3"/>
    </row>
    <row r="108" spans="1:20" x14ac:dyDescent="0.25">
      <c r="A108" s="37" t="s">
        <v>640</v>
      </c>
      <c r="B108" s="3">
        <v>80</v>
      </c>
      <c r="C108" s="73" t="str">
        <f t="shared" si="2"/>
        <v>4D</v>
      </c>
      <c r="D108" s="3" t="s">
        <v>140</v>
      </c>
      <c r="E108" s="3"/>
      <c r="F108" s="3">
        <v>0</v>
      </c>
      <c r="G108" s="3">
        <v>1</v>
      </c>
      <c r="H108" s="3"/>
      <c r="I108" s="3" t="s">
        <v>87</v>
      </c>
      <c r="J108" s="3"/>
      <c r="K108" s="3" t="s">
        <v>641</v>
      </c>
      <c r="L108" s="3"/>
      <c r="M108" s="3"/>
      <c r="N108" s="3"/>
      <c r="O108" s="3"/>
      <c r="P108" s="3"/>
      <c r="Q108" s="3"/>
      <c r="R108" s="3"/>
      <c r="S108" s="3"/>
      <c r="T108" s="3"/>
    </row>
    <row r="109" spans="1:20" x14ac:dyDescent="0.25">
      <c r="A109" s="54" t="s">
        <v>375</v>
      </c>
      <c r="B109" s="3">
        <v>80</v>
      </c>
      <c r="C109" s="73" t="str">
        <f t="shared" si="2"/>
        <v>4E</v>
      </c>
      <c r="D109" s="3"/>
      <c r="E109" s="3"/>
      <c r="F109" s="3"/>
      <c r="G109" s="3"/>
      <c r="H109" s="3"/>
      <c r="I109" s="3"/>
      <c r="J109" s="3" t="s">
        <v>479</v>
      </c>
      <c r="L109" s="3"/>
      <c r="M109" s="3"/>
      <c r="N109" s="3"/>
      <c r="O109" s="3"/>
      <c r="P109" s="3"/>
      <c r="Q109" s="3"/>
      <c r="R109" s="3"/>
      <c r="S109" s="3"/>
      <c r="T109" s="3"/>
    </row>
    <row r="110" spans="1:20" x14ac:dyDescent="0.25">
      <c r="A110" s="54" t="s">
        <v>376</v>
      </c>
      <c r="B110" s="3">
        <v>80</v>
      </c>
      <c r="C110" s="73" t="str">
        <f t="shared" si="2"/>
        <v>4F</v>
      </c>
      <c r="D110" s="3"/>
      <c r="E110" s="3"/>
      <c r="F110" s="3"/>
      <c r="G110" s="3"/>
      <c r="H110" s="3"/>
      <c r="I110" s="3"/>
      <c r="J110" s="3" t="s">
        <v>479</v>
      </c>
      <c r="L110" s="3"/>
      <c r="M110" s="3"/>
      <c r="N110" s="3"/>
      <c r="O110" s="3"/>
      <c r="P110" s="3"/>
      <c r="Q110" s="3"/>
      <c r="R110" s="3"/>
      <c r="S110" s="3"/>
      <c r="T110" s="3"/>
    </row>
    <row r="111" spans="1:20" x14ac:dyDescent="0.25">
      <c r="A111" s="54" t="s">
        <v>377</v>
      </c>
      <c r="B111" s="3">
        <v>80</v>
      </c>
      <c r="C111" s="73" t="str">
        <f t="shared" si="2"/>
        <v>50</v>
      </c>
      <c r="D111" s="3"/>
      <c r="E111" s="3"/>
      <c r="F111" s="3"/>
      <c r="G111" s="3"/>
      <c r="H111" s="3"/>
      <c r="I111" s="3"/>
      <c r="J111" s="3" t="s">
        <v>479</v>
      </c>
      <c r="L111" s="3"/>
      <c r="M111" s="3"/>
      <c r="N111" s="3"/>
      <c r="O111" s="3"/>
      <c r="P111" s="3"/>
      <c r="Q111" s="3"/>
      <c r="R111" s="3"/>
      <c r="S111" s="3"/>
      <c r="T111" s="3"/>
    </row>
    <row r="112" spans="1:20" x14ac:dyDescent="0.25">
      <c r="A112" s="54" t="s">
        <v>378</v>
      </c>
      <c r="B112" s="3">
        <v>80</v>
      </c>
      <c r="C112" s="73" t="str">
        <f t="shared" si="2"/>
        <v>51</v>
      </c>
      <c r="D112" s="3"/>
      <c r="E112" s="3"/>
      <c r="F112" s="3"/>
      <c r="G112" s="3"/>
      <c r="H112" s="3"/>
      <c r="I112" s="3"/>
      <c r="J112" s="3" t="s">
        <v>479</v>
      </c>
      <c r="L112" s="3"/>
      <c r="M112" s="3"/>
      <c r="N112" s="3"/>
      <c r="O112" s="3"/>
      <c r="P112" s="3"/>
      <c r="Q112" s="3"/>
      <c r="R112" s="3"/>
      <c r="S112" s="3"/>
      <c r="T112" s="3"/>
    </row>
    <row r="113" spans="1:20" x14ac:dyDescent="0.25">
      <c r="A113" s="37" t="s">
        <v>1003</v>
      </c>
      <c r="B113" s="3">
        <v>80</v>
      </c>
      <c r="C113" s="73" t="str">
        <f t="shared" si="2"/>
        <v>52</v>
      </c>
      <c r="D113" s="3" t="s">
        <v>225</v>
      </c>
      <c r="E113" s="3"/>
      <c r="F113" s="3"/>
      <c r="G113" s="3"/>
      <c r="H113" s="3"/>
      <c r="I113" s="3" t="s">
        <v>87</v>
      </c>
      <c r="J113" s="3"/>
      <c r="L113" s="3"/>
      <c r="M113" s="3"/>
      <c r="N113" s="3"/>
      <c r="O113" s="3"/>
      <c r="P113" s="3"/>
      <c r="Q113" s="3"/>
      <c r="R113" s="3"/>
      <c r="S113" s="3"/>
      <c r="T113" s="3"/>
    </row>
    <row r="114" spans="1:20" x14ac:dyDescent="0.25">
      <c r="A114" s="37" t="s">
        <v>642</v>
      </c>
      <c r="B114" s="3">
        <v>80</v>
      </c>
      <c r="C114" s="73" t="str">
        <f t="shared" si="2"/>
        <v>53</v>
      </c>
      <c r="D114" s="3" t="s">
        <v>240</v>
      </c>
      <c r="E114" s="3"/>
      <c r="F114" s="3">
        <v>0</v>
      </c>
      <c r="G114" s="3">
        <v>32767</v>
      </c>
      <c r="H114" s="3" t="s">
        <v>633</v>
      </c>
      <c r="I114" s="3" t="s">
        <v>93</v>
      </c>
      <c r="J114" s="3"/>
      <c r="L114" s="3"/>
      <c r="M114" s="3"/>
      <c r="N114" s="3"/>
      <c r="O114" s="3"/>
      <c r="P114" s="3"/>
      <c r="Q114" s="3"/>
      <c r="R114" s="3"/>
      <c r="S114" s="3"/>
      <c r="T114" s="3"/>
    </row>
    <row r="115" spans="1:20" x14ac:dyDescent="0.25">
      <c r="A115" s="37" t="s">
        <v>643</v>
      </c>
      <c r="B115" s="3">
        <v>80</v>
      </c>
      <c r="C115" s="73" t="str">
        <f t="shared" si="2"/>
        <v>54</v>
      </c>
      <c r="D115" s="3" t="s">
        <v>240</v>
      </c>
      <c r="E115" s="3"/>
      <c r="F115" s="3">
        <v>0</v>
      </c>
      <c r="G115" s="3">
        <v>32767</v>
      </c>
      <c r="H115" s="3" t="s">
        <v>633</v>
      </c>
      <c r="I115" s="3" t="s">
        <v>93</v>
      </c>
      <c r="J115" s="3"/>
      <c r="L115" s="3"/>
      <c r="M115" s="3"/>
      <c r="N115" s="3"/>
      <c r="O115" s="3"/>
      <c r="P115" s="3"/>
      <c r="Q115" s="3"/>
      <c r="R115" s="3"/>
      <c r="S115" s="3"/>
      <c r="T115" s="3"/>
    </row>
    <row r="116" spans="1:20" x14ac:dyDescent="0.25">
      <c r="A116" s="15" t="s">
        <v>645</v>
      </c>
      <c r="B116" s="3">
        <v>80</v>
      </c>
      <c r="C116" s="73" t="str">
        <f t="shared" si="2"/>
        <v>55</v>
      </c>
      <c r="D116" s="3" t="s">
        <v>225</v>
      </c>
      <c r="E116" s="3"/>
      <c r="F116" s="3" t="s">
        <v>646</v>
      </c>
      <c r="G116" s="3" t="s">
        <v>647</v>
      </c>
      <c r="H116" s="3" t="s">
        <v>648</v>
      </c>
      <c r="I116" s="3" t="s">
        <v>87</v>
      </c>
      <c r="J116" s="3"/>
      <c r="K116" s="3" t="s">
        <v>649</v>
      </c>
      <c r="L116" s="3"/>
      <c r="M116" s="3"/>
      <c r="N116" s="3"/>
      <c r="O116" s="3"/>
      <c r="P116" s="3"/>
      <c r="Q116" s="3"/>
      <c r="R116" s="3"/>
      <c r="S116" s="3"/>
      <c r="T116" s="3"/>
    </row>
    <row r="117" spans="1:20" x14ac:dyDescent="0.25">
      <c r="A117" s="15" t="s">
        <v>659</v>
      </c>
      <c r="B117" s="3">
        <v>80</v>
      </c>
      <c r="C117" s="73" t="str">
        <f t="shared" si="2"/>
        <v>56</v>
      </c>
      <c r="D117" s="3" t="s">
        <v>225</v>
      </c>
      <c r="E117" s="3"/>
      <c r="F117" s="3" t="s">
        <v>646</v>
      </c>
      <c r="G117" s="3" t="s">
        <v>647</v>
      </c>
      <c r="H117" s="3" t="s">
        <v>648</v>
      </c>
      <c r="I117" s="3" t="s">
        <v>87</v>
      </c>
      <c r="J117" s="3"/>
      <c r="K117" s="3" t="s">
        <v>650</v>
      </c>
      <c r="L117" s="3"/>
      <c r="M117" s="3"/>
      <c r="N117" s="3"/>
      <c r="O117" s="3"/>
      <c r="P117" s="3"/>
      <c r="Q117" s="3"/>
      <c r="R117" s="3"/>
      <c r="S117" s="3"/>
      <c r="T117" s="3"/>
    </row>
    <row r="118" spans="1:20" x14ac:dyDescent="0.25">
      <c r="A118" s="50" t="s">
        <v>660</v>
      </c>
      <c r="B118" s="3">
        <v>80</v>
      </c>
      <c r="C118" s="73" t="str">
        <f>DEC2HEX(HEX2DEC(C117)+1)</f>
        <v>57</v>
      </c>
      <c r="D118" s="3" t="s">
        <v>131</v>
      </c>
      <c r="E118" s="3"/>
      <c r="F118" s="3"/>
      <c r="G118" s="3"/>
      <c r="H118" s="3" t="s">
        <v>661</v>
      </c>
      <c r="I118" s="3" t="s">
        <v>93</v>
      </c>
      <c r="J118" s="3"/>
      <c r="K118" s="3" t="s">
        <v>662</v>
      </c>
      <c r="L118" s="3"/>
      <c r="M118" s="3"/>
      <c r="N118" s="3"/>
      <c r="O118" s="3"/>
      <c r="P118" s="3"/>
      <c r="Q118" s="3"/>
      <c r="R118" s="3"/>
      <c r="S118" s="3"/>
      <c r="T118" s="3"/>
    </row>
    <row r="119" spans="1:20" x14ac:dyDescent="0.25">
      <c r="A119" s="75" t="s">
        <v>667</v>
      </c>
      <c r="B119" s="3">
        <v>80</v>
      </c>
      <c r="C119" s="73" t="str">
        <f t="shared" ref="C119:C160" si="3">DEC2HEX(HEX2DEC(C118)+1)</f>
        <v>58</v>
      </c>
      <c r="D119" s="3" t="s">
        <v>140</v>
      </c>
      <c r="E119" s="3"/>
      <c r="F119" s="3">
        <v>0</v>
      </c>
      <c r="G119" s="3">
        <v>1</v>
      </c>
      <c r="H119" s="3"/>
      <c r="I119" s="3" t="s">
        <v>87</v>
      </c>
      <c r="J119" s="3"/>
      <c r="K119" s="8" t="s">
        <v>673</v>
      </c>
    </row>
    <row r="120" spans="1:20" x14ac:dyDescent="0.25">
      <c r="A120" s="37" t="s">
        <v>668</v>
      </c>
      <c r="B120" s="3">
        <v>80</v>
      </c>
      <c r="C120" s="73" t="str">
        <f t="shared" si="3"/>
        <v>59</v>
      </c>
      <c r="D120" s="3" t="s">
        <v>240</v>
      </c>
      <c r="E120" s="3"/>
      <c r="F120" s="3">
        <v>20</v>
      </c>
      <c r="G120" s="3">
        <v>600</v>
      </c>
      <c r="H120" s="3" t="s">
        <v>671</v>
      </c>
      <c r="I120" s="3" t="s">
        <v>87</v>
      </c>
      <c r="J120" s="3"/>
      <c r="K120" s="8"/>
    </row>
    <row r="121" spans="1:20" x14ac:dyDescent="0.25">
      <c r="A121" s="37" t="s">
        <v>669</v>
      </c>
      <c r="B121" s="3">
        <v>80</v>
      </c>
      <c r="C121" s="73" t="str">
        <f t="shared" si="3"/>
        <v>5A</v>
      </c>
      <c r="D121" s="3" t="s">
        <v>140</v>
      </c>
      <c r="E121" s="3"/>
      <c r="F121" s="3">
        <v>0</v>
      </c>
      <c r="G121" s="3">
        <v>1</v>
      </c>
      <c r="H121" s="3"/>
      <c r="I121" s="3" t="s">
        <v>87</v>
      </c>
      <c r="J121" s="3"/>
      <c r="K121" s="8" t="s">
        <v>674</v>
      </c>
    </row>
    <row r="122" spans="1:20" x14ac:dyDescent="0.25">
      <c r="A122" s="37" t="s">
        <v>670</v>
      </c>
      <c r="B122" s="3">
        <v>80</v>
      </c>
      <c r="C122" s="73" t="str">
        <f t="shared" si="3"/>
        <v>5B</v>
      </c>
      <c r="D122" s="3" t="s">
        <v>240</v>
      </c>
      <c r="E122" s="3"/>
      <c r="F122" s="3">
        <v>20</v>
      </c>
      <c r="G122" s="3">
        <v>600</v>
      </c>
      <c r="H122" s="3" t="s">
        <v>671</v>
      </c>
      <c r="I122" s="3" t="s">
        <v>87</v>
      </c>
      <c r="J122" s="3"/>
    </row>
    <row r="123" spans="1:20" x14ac:dyDescent="0.25">
      <c r="A123" s="54" t="s">
        <v>672</v>
      </c>
      <c r="B123" s="3">
        <v>80</v>
      </c>
      <c r="C123" s="73" t="str">
        <f t="shared" si="3"/>
        <v>5C</v>
      </c>
      <c r="D123" s="3" t="s">
        <v>140</v>
      </c>
      <c r="E123" s="3"/>
      <c r="F123" s="3">
        <v>0</v>
      </c>
      <c r="G123" s="3">
        <v>1</v>
      </c>
      <c r="H123" s="3"/>
      <c r="I123" s="3" t="s">
        <v>87</v>
      </c>
      <c r="J123" s="3"/>
      <c r="K123" s="3" t="s">
        <v>664</v>
      </c>
    </row>
    <row r="124" spans="1:20" x14ac:dyDescent="0.25">
      <c r="A124" s="54" t="s">
        <v>663</v>
      </c>
      <c r="B124" s="3">
        <v>80</v>
      </c>
      <c r="C124" s="73" t="str">
        <f t="shared" si="3"/>
        <v>5D</v>
      </c>
      <c r="D124" s="3" t="s">
        <v>140</v>
      </c>
      <c r="E124" s="3"/>
      <c r="F124" s="3">
        <v>0</v>
      </c>
      <c r="G124" s="3">
        <v>1</v>
      </c>
      <c r="H124" s="3"/>
      <c r="I124" s="3" t="s">
        <v>87</v>
      </c>
      <c r="J124" s="3"/>
      <c r="K124" s="3" t="s">
        <v>664</v>
      </c>
    </row>
    <row r="125" spans="1:20" x14ac:dyDescent="0.25">
      <c r="A125" s="54" t="s">
        <v>665</v>
      </c>
      <c r="B125" s="3">
        <v>80</v>
      </c>
      <c r="C125" s="73" t="str">
        <f t="shared" si="3"/>
        <v>5E</v>
      </c>
      <c r="D125" s="3" t="s">
        <v>140</v>
      </c>
      <c r="E125" s="3"/>
      <c r="F125" s="3">
        <v>0</v>
      </c>
      <c r="G125" s="3">
        <v>1</v>
      </c>
      <c r="H125" s="3"/>
      <c r="I125" s="3" t="s">
        <v>87</v>
      </c>
      <c r="J125" s="3"/>
      <c r="K125" s="3" t="s">
        <v>666</v>
      </c>
    </row>
    <row r="126" spans="1:20" x14ac:dyDescent="0.25">
      <c r="A126" s="37" t="s">
        <v>689</v>
      </c>
      <c r="B126" s="3">
        <v>80</v>
      </c>
      <c r="C126" s="73" t="str">
        <f t="shared" si="3"/>
        <v>5F</v>
      </c>
      <c r="D126" s="3" t="s">
        <v>140</v>
      </c>
      <c r="E126" s="3"/>
      <c r="F126" s="3">
        <v>0</v>
      </c>
      <c r="G126" s="3">
        <v>1</v>
      </c>
      <c r="H126" s="3"/>
      <c r="I126" s="3" t="s">
        <v>87</v>
      </c>
      <c r="J126" s="3"/>
      <c r="K126" s="3" t="s">
        <v>690</v>
      </c>
    </row>
    <row r="127" spans="1:20" x14ac:dyDescent="0.25">
      <c r="A127" s="37" t="s">
        <v>691</v>
      </c>
      <c r="B127" s="3">
        <v>80</v>
      </c>
      <c r="C127" s="73" t="str">
        <f t="shared" si="3"/>
        <v>60</v>
      </c>
      <c r="D127" s="3" t="s">
        <v>140</v>
      </c>
      <c r="E127" s="3"/>
      <c r="F127" s="3">
        <v>0</v>
      </c>
      <c r="G127" s="3">
        <v>1</v>
      </c>
      <c r="H127" s="3"/>
      <c r="I127" s="3" t="s">
        <v>87</v>
      </c>
      <c r="J127" s="3"/>
      <c r="K127" s="3" t="s">
        <v>692</v>
      </c>
    </row>
    <row r="128" spans="1:20" customFormat="1" x14ac:dyDescent="0.25">
      <c r="A128" s="37" t="s">
        <v>693</v>
      </c>
      <c r="B128" s="3">
        <v>80</v>
      </c>
      <c r="C128" s="73" t="str">
        <f t="shared" si="3"/>
        <v>61</v>
      </c>
      <c r="D128" s="3" t="s">
        <v>131</v>
      </c>
      <c r="E128" s="3" t="s">
        <v>711</v>
      </c>
      <c r="F128" s="3">
        <v>0</v>
      </c>
      <c r="G128" s="3">
        <v>16777215</v>
      </c>
      <c r="H128" s="3" t="s">
        <v>711</v>
      </c>
      <c r="I128" s="3" t="s">
        <v>87</v>
      </c>
      <c r="J128" s="3"/>
      <c r="K128" s="3" t="s">
        <v>694</v>
      </c>
      <c r="L128" s="3"/>
      <c r="M128" s="3"/>
      <c r="N128" s="3"/>
      <c r="O128" s="3"/>
      <c r="P128" s="3"/>
      <c r="Q128" s="3"/>
      <c r="R128" s="3"/>
      <c r="S128" s="3"/>
      <c r="T128" s="3"/>
    </row>
    <row r="129" spans="1:20" customFormat="1" x14ac:dyDescent="0.25">
      <c r="A129" s="37" t="s">
        <v>695</v>
      </c>
      <c r="B129" s="3">
        <v>80</v>
      </c>
      <c r="C129" s="73" t="str">
        <f t="shared" si="3"/>
        <v>62</v>
      </c>
      <c r="D129" s="3" t="s">
        <v>131</v>
      </c>
      <c r="E129" s="3" t="s">
        <v>711</v>
      </c>
      <c r="F129" s="3">
        <v>0</v>
      </c>
      <c r="G129" s="3">
        <v>16777215</v>
      </c>
      <c r="H129" s="3" t="s">
        <v>711</v>
      </c>
      <c r="I129" s="3" t="s">
        <v>87</v>
      </c>
      <c r="J129" s="3"/>
      <c r="K129" s="3" t="s">
        <v>694</v>
      </c>
      <c r="L129" s="3"/>
      <c r="M129" s="3"/>
      <c r="N129" s="3"/>
      <c r="O129" s="3"/>
      <c r="P129" s="3"/>
      <c r="Q129" s="3"/>
      <c r="R129" s="3"/>
      <c r="S129" s="3"/>
      <c r="T129" s="3"/>
    </row>
    <row r="130" spans="1:20" x14ac:dyDescent="0.25">
      <c r="A130" s="37" t="s">
        <v>696</v>
      </c>
      <c r="B130" s="3">
        <v>80</v>
      </c>
      <c r="C130" s="73" t="str">
        <f t="shared" si="3"/>
        <v>63</v>
      </c>
      <c r="D130" s="3" t="s">
        <v>140</v>
      </c>
      <c r="E130" s="3"/>
      <c r="F130" s="3">
        <v>0</v>
      </c>
      <c r="G130" s="3">
        <v>1</v>
      </c>
      <c r="H130" s="3"/>
      <c r="I130" s="3" t="s">
        <v>93</v>
      </c>
      <c r="J130" s="3"/>
      <c r="K130" s="3" t="s">
        <v>709</v>
      </c>
    </row>
    <row r="131" spans="1:20" x14ac:dyDescent="0.25">
      <c r="A131" s="37" t="s">
        <v>1004</v>
      </c>
      <c r="B131" s="3">
        <v>80</v>
      </c>
      <c r="C131" s="73" t="str">
        <f t="shared" si="3"/>
        <v>64</v>
      </c>
      <c r="D131" s="3" t="s">
        <v>140</v>
      </c>
      <c r="E131" s="3"/>
      <c r="F131" s="3">
        <v>0</v>
      </c>
      <c r="G131" s="3">
        <v>1</v>
      </c>
      <c r="H131" s="3"/>
      <c r="I131" s="3" t="s">
        <v>93</v>
      </c>
      <c r="J131" s="3"/>
      <c r="K131" s="3" t="s">
        <v>709</v>
      </c>
    </row>
    <row r="132" spans="1:20" x14ac:dyDescent="0.25">
      <c r="A132" s="42" t="s">
        <v>343</v>
      </c>
      <c r="B132" s="3">
        <v>80</v>
      </c>
      <c r="C132" s="73" t="str">
        <f t="shared" si="3"/>
        <v>65</v>
      </c>
      <c r="D132" s="3"/>
      <c r="E132" s="3"/>
      <c r="F132" s="3"/>
      <c r="G132" s="3"/>
      <c r="H132" s="3"/>
      <c r="I132" s="3"/>
      <c r="J132" s="3"/>
    </row>
    <row r="133" spans="1:20" x14ac:dyDescent="0.25">
      <c r="A133" s="37" t="s">
        <v>699</v>
      </c>
      <c r="B133" s="3">
        <v>80</v>
      </c>
      <c r="C133" s="73" t="str">
        <f t="shared" si="3"/>
        <v>66</v>
      </c>
      <c r="D133" s="3" t="s">
        <v>140</v>
      </c>
      <c r="E133" s="3"/>
      <c r="F133" s="3">
        <v>0</v>
      </c>
      <c r="G133" s="3">
        <v>1</v>
      </c>
      <c r="H133" s="3"/>
      <c r="I133" s="3" t="s">
        <v>93</v>
      </c>
      <c r="J133" s="3"/>
      <c r="K133" s="3" t="s">
        <v>709</v>
      </c>
    </row>
    <row r="134" spans="1:20" x14ac:dyDescent="0.25">
      <c r="A134" s="37" t="s">
        <v>700</v>
      </c>
      <c r="B134" s="3">
        <v>80</v>
      </c>
      <c r="C134" s="73" t="str">
        <f t="shared" si="3"/>
        <v>67</v>
      </c>
      <c r="D134" s="3" t="s">
        <v>140</v>
      </c>
      <c r="E134" s="3"/>
      <c r="F134" s="3">
        <v>0</v>
      </c>
      <c r="G134" s="3">
        <v>1</v>
      </c>
      <c r="H134" s="3"/>
      <c r="I134" s="3" t="s">
        <v>93</v>
      </c>
      <c r="J134" s="3"/>
      <c r="K134" s="3" t="s">
        <v>709</v>
      </c>
    </row>
    <row r="135" spans="1:20" x14ac:dyDescent="0.25">
      <c r="A135" s="37" t="s">
        <v>701</v>
      </c>
      <c r="B135" s="3">
        <v>80</v>
      </c>
      <c r="C135" s="73" t="str">
        <f t="shared" si="3"/>
        <v>68</v>
      </c>
      <c r="D135" s="3" t="s">
        <v>140</v>
      </c>
      <c r="E135" s="3"/>
      <c r="F135" s="3">
        <v>0</v>
      </c>
      <c r="G135" s="3">
        <v>1</v>
      </c>
      <c r="H135" s="3"/>
      <c r="I135" s="3" t="s">
        <v>93</v>
      </c>
      <c r="J135" s="3"/>
      <c r="K135" s="3" t="s">
        <v>709</v>
      </c>
    </row>
    <row r="136" spans="1:20" x14ac:dyDescent="0.25">
      <c r="A136" s="37" t="s">
        <v>702</v>
      </c>
      <c r="B136" s="3">
        <v>80</v>
      </c>
      <c r="C136" s="73" t="str">
        <f t="shared" si="3"/>
        <v>69</v>
      </c>
      <c r="D136" s="3" t="s">
        <v>140</v>
      </c>
      <c r="E136" s="3"/>
      <c r="F136" s="3">
        <v>0</v>
      </c>
      <c r="G136" s="3">
        <v>1</v>
      </c>
      <c r="H136" s="3"/>
      <c r="I136" s="3" t="s">
        <v>93</v>
      </c>
      <c r="J136" s="3"/>
      <c r="K136" s="3" t="s">
        <v>709</v>
      </c>
    </row>
    <row r="137" spans="1:20" x14ac:dyDescent="0.25">
      <c r="A137" s="42" t="s">
        <v>343</v>
      </c>
      <c r="B137" s="3">
        <v>80</v>
      </c>
      <c r="C137" s="73" t="str">
        <f t="shared" si="3"/>
        <v>6A</v>
      </c>
      <c r="D137" s="3"/>
      <c r="E137" s="3"/>
      <c r="F137" s="3"/>
      <c r="G137" s="3"/>
      <c r="H137" s="3"/>
      <c r="I137" s="3"/>
      <c r="J137" s="3"/>
    </row>
    <row r="138" spans="1:20" x14ac:dyDescent="0.25">
      <c r="A138" s="42" t="s">
        <v>343</v>
      </c>
      <c r="B138" s="3">
        <v>80</v>
      </c>
      <c r="C138" s="73" t="str">
        <f t="shared" si="3"/>
        <v>6B</v>
      </c>
      <c r="D138" s="3"/>
      <c r="E138" s="3"/>
      <c r="F138" s="3"/>
      <c r="G138" s="3"/>
      <c r="H138" s="3"/>
      <c r="I138" s="3"/>
      <c r="J138" s="3"/>
    </row>
    <row r="139" spans="1:20" x14ac:dyDescent="0.25">
      <c r="A139" s="37" t="s">
        <v>705</v>
      </c>
      <c r="B139" s="3">
        <v>80</v>
      </c>
      <c r="C139" s="73" t="str">
        <f t="shared" si="3"/>
        <v>6C</v>
      </c>
      <c r="D139" s="3" t="s">
        <v>140</v>
      </c>
      <c r="E139" s="3"/>
      <c r="F139" s="3">
        <v>0</v>
      </c>
      <c r="G139" s="3">
        <v>1</v>
      </c>
      <c r="H139" s="3"/>
      <c r="I139" s="3" t="s">
        <v>93</v>
      </c>
      <c r="J139" s="3"/>
      <c r="K139" s="3" t="s">
        <v>709</v>
      </c>
    </row>
    <row r="140" spans="1:20" x14ac:dyDescent="0.25">
      <c r="A140" s="37" t="s">
        <v>706</v>
      </c>
      <c r="B140" s="3">
        <v>80</v>
      </c>
      <c r="C140" s="73" t="str">
        <f t="shared" si="3"/>
        <v>6D</v>
      </c>
      <c r="D140" s="3" t="s">
        <v>140</v>
      </c>
      <c r="E140" s="3"/>
      <c r="F140" s="3">
        <v>0</v>
      </c>
      <c r="G140" s="3">
        <v>1</v>
      </c>
      <c r="H140" s="3"/>
      <c r="I140" s="3" t="s">
        <v>93</v>
      </c>
      <c r="J140" s="3"/>
      <c r="K140" s="3" t="s">
        <v>709</v>
      </c>
    </row>
    <row r="141" spans="1:20" x14ac:dyDescent="0.25">
      <c r="A141" s="37" t="s">
        <v>707</v>
      </c>
      <c r="B141" s="3">
        <v>80</v>
      </c>
      <c r="C141" s="73" t="str">
        <f t="shared" si="3"/>
        <v>6E</v>
      </c>
      <c r="D141" s="3" t="s">
        <v>137</v>
      </c>
      <c r="E141" s="3"/>
      <c r="F141" s="3">
        <v>0</v>
      </c>
      <c r="G141" s="3">
        <v>2</v>
      </c>
      <c r="H141" s="3"/>
      <c r="I141" s="3" t="s">
        <v>93</v>
      </c>
      <c r="J141" s="3"/>
      <c r="K141" s="3" t="s">
        <v>708</v>
      </c>
    </row>
    <row r="142" spans="1:20" x14ac:dyDescent="0.25">
      <c r="A142" s="37" t="s">
        <v>710</v>
      </c>
      <c r="B142" s="3">
        <v>80</v>
      </c>
      <c r="C142" s="73" t="str">
        <f t="shared" si="3"/>
        <v>6F</v>
      </c>
      <c r="D142" s="3" t="s">
        <v>140</v>
      </c>
      <c r="E142" s="3"/>
      <c r="F142" s="3">
        <v>0</v>
      </c>
      <c r="G142" s="3">
        <v>1</v>
      </c>
      <c r="H142" s="3"/>
      <c r="I142" s="3" t="s">
        <v>93</v>
      </c>
      <c r="J142" s="3"/>
      <c r="K142" s="3" t="s">
        <v>709</v>
      </c>
    </row>
    <row r="143" spans="1:20" x14ac:dyDescent="0.25">
      <c r="A143" s="37" t="s">
        <v>762</v>
      </c>
      <c r="B143" s="3">
        <v>80</v>
      </c>
      <c r="C143" s="73" t="str">
        <f t="shared" si="3"/>
        <v>70</v>
      </c>
      <c r="D143" s="3" t="s">
        <v>140</v>
      </c>
      <c r="F143" s="3">
        <v>0</v>
      </c>
      <c r="G143" s="3">
        <v>1</v>
      </c>
      <c r="H143" s="3"/>
      <c r="I143" s="3" t="s">
        <v>87</v>
      </c>
      <c r="J143" s="3"/>
      <c r="K143" s="3" t="s">
        <v>763</v>
      </c>
    </row>
    <row r="144" spans="1:20" x14ac:dyDescent="0.25">
      <c r="A144" s="15" t="s">
        <v>833</v>
      </c>
      <c r="B144" s="3">
        <v>80</v>
      </c>
      <c r="C144" s="73" t="str">
        <f t="shared" si="3"/>
        <v>71</v>
      </c>
      <c r="D144" s="3" t="s">
        <v>225</v>
      </c>
      <c r="E144" s="3"/>
      <c r="F144" s="3"/>
      <c r="G144" s="3"/>
      <c r="H144" s="3" t="s">
        <v>226</v>
      </c>
      <c r="I144" s="3" t="s">
        <v>93</v>
      </c>
      <c r="J144" s="3"/>
      <c r="K144" s="3" t="s">
        <v>835</v>
      </c>
      <c r="L144" s="3"/>
      <c r="M144" s="3"/>
      <c r="N144" s="3"/>
      <c r="O144" s="3"/>
      <c r="P144" s="3"/>
      <c r="Q144" s="3"/>
      <c r="R144" s="3"/>
      <c r="S144" s="3"/>
      <c r="T144" s="3"/>
    </row>
    <row r="145" spans="1:20" x14ac:dyDescent="0.25">
      <c r="A145" s="15" t="s">
        <v>834</v>
      </c>
      <c r="B145" s="3">
        <v>80</v>
      </c>
      <c r="C145" s="73" t="str">
        <f t="shared" si="3"/>
        <v>72</v>
      </c>
      <c r="D145" s="3" t="s">
        <v>225</v>
      </c>
      <c r="E145" s="3"/>
      <c r="F145" s="3"/>
      <c r="G145" s="3"/>
      <c r="H145" s="3" t="s">
        <v>226</v>
      </c>
      <c r="I145" s="3" t="s">
        <v>93</v>
      </c>
      <c r="J145" s="3"/>
      <c r="K145" s="3" t="s">
        <v>836</v>
      </c>
      <c r="L145" s="3"/>
      <c r="M145" s="3"/>
      <c r="N145" s="3"/>
      <c r="O145" s="3"/>
      <c r="P145" s="3"/>
      <c r="Q145" s="3"/>
      <c r="R145" s="3"/>
      <c r="S145" s="3"/>
      <c r="T145" s="3"/>
    </row>
    <row r="146" spans="1:20" ht="30" x14ac:dyDescent="0.25">
      <c r="A146" s="15" t="s">
        <v>839</v>
      </c>
      <c r="B146" s="3">
        <v>80</v>
      </c>
      <c r="C146" s="73" t="str">
        <f t="shared" si="3"/>
        <v>73</v>
      </c>
      <c r="D146" s="3" t="s">
        <v>137</v>
      </c>
      <c r="E146" s="3"/>
      <c r="F146" s="3"/>
      <c r="G146" s="3"/>
      <c r="H146" s="3"/>
      <c r="I146" s="3" t="s">
        <v>103</v>
      </c>
      <c r="J146" s="3"/>
      <c r="K146" s="8" t="s">
        <v>579</v>
      </c>
      <c r="L146" s="3"/>
      <c r="M146" s="3"/>
      <c r="N146" s="3"/>
      <c r="O146" s="3"/>
      <c r="P146" s="3"/>
      <c r="Q146" s="3"/>
      <c r="R146" s="3"/>
      <c r="S146" s="3"/>
      <c r="T146" s="3"/>
    </row>
    <row r="147" spans="1:20" ht="30" x14ac:dyDescent="0.25">
      <c r="A147" s="15" t="s">
        <v>840</v>
      </c>
      <c r="B147" s="3">
        <v>80</v>
      </c>
      <c r="C147" s="73" t="str">
        <f t="shared" si="3"/>
        <v>74</v>
      </c>
      <c r="D147" s="3" t="s">
        <v>137</v>
      </c>
      <c r="E147" s="3"/>
      <c r="F147" s="3"/>
      <c r="G147" s="3"/>
      <c r="H147" s="3"/>
      <c r="I147" s="3" t="s">
        <v>103</v>
      </c>
      <c r="J147" s="3"/>
      <c r="K147" s="8" t="s">
        <v>579</v>
      </c>
      <c r="L147" s="3"/>
      <c r="M147" s="3"/>
      <c r="N147" s="3"/>
      <c r="O147" s="3"/>
      <c r="P147" s="3"/>
      <c r="Q147" s="3"/>
      <c r="R147" s="3"/>
      <c r="S147" s="3"/>
      <c r="T147" s="3"/>
    </row>
    <row r="148" spans="1:20" x14ac:dyDescent="0.25">
      <c r="A148" s="15" t="s">
        <v>846</v>
      </c>
      <c r="B148" s="3">
        <v>80</v>
      </c>
      <c r="C148" s="73" t="str">
        <f t="shared" si="3"/>
        <v>75</v>
      </c>
      <c r="D148" s="3" t="s">
        <v>225</v>
      </c>
      <c r="E148" s="3"/>
      <c r="F148" s="3"/>
      <c r="G148" s="3"/>
      <c r="H148" s="3" t="s">
        <v>226</v>
      </c>
      <c r="I148" s="3" t="s">
        <v>93</v>
      </c>
      <c r="J148" s="3"/>
      <c r="K148" s="3" t="s">
        <v>847</v>
      </c>
      <c r="L148" s="3"/>
      <c r="M148" s="3"/>
      <c r="N148" s="3"/>
      <c r="O148" s="3"/>
      <c r="P148" s="3"/>
      <c r="Q148" s="3"/>
      <c r="R148" s="3"/>
      <c r="S148" s="3"/>
      <c r="T148" s="3"/>
    </row>
    <row r="149" spans="1:20" x14ac:dyDescent="0.25">
      <c r="A149" s="15" t="s">
        <v>848</v>
      </c>
      <c r="B149" s="3">
        <v>80</v>
      </c>
      <c r="C149" s="73" t="str">
        <f t="shared" si="3"/>
        <v>76</v>
      </c>
      <c r="D149" s="3" t="s">
        <v>225</v>
      </c>
      <c r="E149" s="3"/>
      <c r="F149" s="3"/>
      <c r="G149" s="3"/>
      <c r="H149" s="3" t="s">
        <v>226</v>
      </c>
      <c r="I149" s="3" t="s">
        <v>93</v>
      </c>
      <c r="J149" s="3"/>
      <c r="K149" s="3" t="s">
        <v>847</v>
      </c>
      <c r="L149" s="3"/>
      <c r="M149" s="3"/>
      <c r="N149" s="3"/>
      <c r="O149" s="3"/>
      <c r="P149" s="3"/>
      <c r="Q149" s="3"/>
      <c r="R149" s="3"/>
      <c r="S149" s="3"/>
      <c r="T149" s="3"/>
    </row>
    <row r="150" spans="1:20" x14ac:dyDescent="0.25">
      <c r="A150" s="15" t="s">
        <v>849</v>
      </c>
      <c r="B150" s="3">
        <v>80</v>
      </c>
      <c r="C150" s="73" t="str">
        <f t="shared" si="3"/>
        <v>77</v>
      </c>
      <c r="D150" s="3" t="s">
        <v>225</v>
      </c>
      <c r="E150" s="3"/>
      <c r="F150" s="3"/>
      <c r="G150" s="3"/>
      <c r="H150" s="3" t="s">
        <v>226</v>
      </c>
      <c r="I150" s="3" t="s">
        <v>93</v>
      </c>
      <c r="J150" s="3"/>
      <c r="K150" s="3" t="s">
        <v>847</v>
      </c>
      <c r="L150" s="3"/>
      <c r="M150" s="3"/>
      <c r="N150" s="3"/>
      <c r="O150" s="3"/>
      <c r="P150" s="3"/>
      <c r="Q150" s="3"/>
      <c r="R150" s="3"/>
      <c r="S150" s="3"/>
      <c r="T150" s="3"/>
    </row>
    <row r="151" spans="1:20" x14ac:dyDescent="0.25">
      <c r="A151" s="15" t="s">
        <v>850</v>
      </c>
      <c r="B151" s="3">
        <v>80</v>
      </c>
      <c r="C151" s="73" t="str">
        <f t="shared" si="3"/>
        <v>78</v>
      </c>
      <c r="D151" s="3" t="s">
        <v>225</v>
      </c>
      <c r="E151" s="3"/>
      <c r="F151" s="3"/>
      <c r="G151" s="3"/>
      <c r="H151" s="3" t="s">
        <v>226</v>
      </c>
      <c r="I151" s="3" t="s">
        <v>93</v>
      </c>
      <c r="J151" s="3"/>
      <c r="K151" s="3" t="s">
        <v>847</v>
      </c>
      <c r="L151" s="3"/>
      <c r="M151" s="3"/>
      <c r="N151" s="3"/>
      <c r="O151" s="3"/>
      <c r="P151" s="3"/>
      <c r="Q151" s="3"/>
      <c r="R151" s="3"/>
      <c r="S151" s="3"/>
      <c r="T151" s="3"/>
    </row>
    <row r="152" spans="1:20" x14ac:dyDescent="0.25">
      <c r="A152" s="15" t="s">
        <v>851</v>
      </c>
      <c r="B152" s="3">
        <v>80</v>
      </c>
      <c r="C152" s="73" t="str">
        <f t="shared" si="3"/>
        <v>79</v>
      </c>
      <c r="D152" s="3" t="s">
        <v>225</v>
      </c>
      <c r="E152" s="3"/>
      <c r="F152" s="3"/>
      <c r="G152" s="3"/>
      <c r="H152" s="3" t="s">
        <v>226</v>
      </c>
      <c r="I152" s="3" t="s">
        <v>93</v>
      </c>
      <c r="J152" s="3"/>
      <c r="K152" s="3" t="s">
        <v>847</v>
      </c>
      <c r="L152" s="3"/>
      <c r="M152" s="3"/>
      <c r="N152" s="3"/>
      <c r="O152" s="3"/>
      <c r="P152" s="3"/>
      <c r="Q152" s="3"/>
      <c r="R152" s="3"/>
      <c r="S152" s="3"/>
      <c r="T152" s="3"/>
    </row>
    <row r="153" spans="1:20" x14ac:dyDescent="0.25">
      <c r="A153" s="15" t="s">
        <v>852</v>
      </c>
      <c r="B153" s="3">
        <v>80</v>
      </c>
      <c r="C153" s="73" t="str">
        <f t="shared" si="3"/>
        <v>7A</v>
      </c>
      <c r="D153" s="3" t="s">
        <v>225</v>
      </c>
      <c r="E153" s="3"/>
      <c r="F153" s="3"/>
      <c r="G153" s="3"/>
      <c r="H153" s="3" t="s">
        <v>226</v>
      </c>
      <c r="I153" s="3" t="s">
        <v>87</v>
      </c>
      <c r="J153" s="3"/>
      <c r="K153" s="3" t="s">
        <v>853</v>
      </c>
      <c r="L153" s="3"/>
      <c r="M153" s="3"/>
      <c r="N153" s="3"/>
      <c r="O153" s="3"/>
      <c r="P153" s="3"/>
      <c r="Q153" s="3"/>
      <c r="R153" s="3"/>
      <c r="S153" s="3"/>
      <c r="T153" s="3"/>
    </row>
    <row r="154" spans="1:20" customFormat="1" x14ac:dyDescent="0.25">
      <c r="A154" s="37" t="s">
        <v>888</v>
      </c>
      <c r="B154" s="3">
        <v>80</v>
      </c>
      <c r="C154" s="73" t="str">
        <f t="shared" si="3"/>
        <v>7B</v>
      </c>
      <c r="D154" s="3" t="s">
        <v>131</v>
      </c>
      <c r="E154" s="3" t="s">
        <v>711</v>
      </c>
      <c r="F154" s="3">
        <v>0</v>
      </c>
      <c r="G154" s="3">
        <v>4294967296</v>
      </c>
      <c r="H154" s="3" t="s">
        <v>889</v>
      </c>
      <c r="I154" s="3" t="s">
        <v>87</v>
      </c>
      <c r="J154" s="3"/>
      <c r="K154" s="3" t="s">
        <v>890</v>
      </c>
      <c r="L154" s="3"/>
      <c r="M154" s="3"/>
      <c r="N154" s="3"/>
      <c r="O154" s="3"/>
      <c r="P154" s="3"/>
      <c r="Q154" s="3"/>
      <c r="R154" s="3"/>
      <c r="S154" s="3"/>
      <c r="T154" s="3"/>
    </row>
    <row r="155" spans="1:20" customFormat="1" ht="30" x14ac:dyDescent="0.25">
      <c r="A155" s="37" t="s">
        <v>891</v>
      </c>
      <c r="B155" s="3">
        <v>80</v>
      </c>
      <c r="C155" s="73" t="str">
        <f t="shared" si="3"/>
        <v>7C</v>
      </c>
      <c r="D155" s="3" t="s">
        <v>131</v>
      </c>
      <c r="E155" s="3" t="s">
        <v>711</v>
      </c>
      <c r="F155" s="3">
        <v>0</v>
      </c>
      <c r="G155" s="3">
        <v>4294967296</v>
      </c>
      <c r="H155" s="3" t="s">
        <v>889</v>
      </c>
      <c r="I155" s="3" t="s">
        <v>87</v>
      </c>
      <c r="J155" s="3"/>
      <c r="K155" s="8" t="s">
        <v>892</v>
      </c>
      <c r="L155" s="3"/>
      <c r="M155" s="3"/>
      <c r="N155" s="3"/>
      <c r="O155" s="3"/>
      <c r="P155" s="3"/>
      <c r="Q155" s="3"/>
      <c r="R155" s="3"/>
      <c r="S155" s="3"/>
      <c r="T155" s="3"/>
    </row>
    <row r="156" spans="1:20" x14ac:dyDescent="0.25">
      <c r="A156" s="37" t="s">
        <v>893</v>
      </c>
      <c r="B156" s="3">
        <v>80</v>
      </c>
      <c r="C156" s="73" t="str">
        <f t="shared" si="3"/>
        <v>7D</v>
      </c>
      <c r="D156" s="3" t="s">
        <v>128</v>
      </c>
      <c r="E156" s="3"/>
      <c r="F156" s="3">
        <v>-32767</v>
      </c>
      <c r="G156" s="3">
        <v>32767</v>
      </c>
      <c r="H156" s="3" t="s">
        <v>633</v>
      </c>
      <c r="I156" s="3" t="s">
        <v>87</v>
      </c>
      <c r="J156" s="3"/>
      <c r="K156" s="3" t="s">
        <v>895</v>
      </c>
    </row>
    <row r="157" spans="1:20" x14ac:dyDescent="0.25">
      <c r="A157" s="37" t="s">
        <v>894</v>
      </c>
      <c r="B157" s="3">
        <v>80</v>
      </c>
      <c r="C157" s="73" t="str">
        <f t="shared" si="3"/>
        <v>7E</v>
      </c>
      <c r="D157" s="3" t="s">
        <v>131</v>
      </c>
      <c r="E157" s="3" t="s">
        <v>711</v>
      </c>
      <c r="F157" s="3">
        <v>0</v>
      </c>
      <c r="G157" s="3">
        <v>4294967296</v>
      </c>
      <c r="H157" s="3" t="s">
        <v>889</v>
      </c>
      <c r="I157" s="3" t="s">
        <v>87</v>
      </c>
      <c r="J157" s="3"/>
      <c r="K157" s="8" t="s">
        <v>896</v>
      </c>
    </row>
    <row r="158" spans="1:20" x14ac:dyDescent="0.25">
      <c r="A158" s="37" t="s">
        <v>934</v>
      </c>
      <c r="B158" s="3">
        <v>80</v>
      </c>
      <c r="C158" s="73" t="str">
        <f t="shared" si="3"/>
        <v>7F</v>
      </c>
      <c r="D158" s="3" t="s">
        <v>137</v>
      </c>
      <c r="E158" s="3"/>
      <c r="F158" s="3">
        <v>0</v>
      </c>
      <c r="G158" s="3">
        <v>100</v>
      </c>
      <c r="H158" s="3" t="s">
        <v>639</v>
      </c>
      <c r="I158" s="3" t="s">
        <v>87</v>
      </c>
      <c r="J158" s="3"/>
      <c r="K158" s="3" t="s">
        <v>935</v>
      </c>
      <c r="L158" s="3"/>
      <c r="M158" s="3"/>
      <c r="N158" s="3"/>
      <c r="O158" s="3"/>
      <c r="P158" s="3"/>
      <c r="Q158" s="3"/>
      <c r="R158" s="3"/>
      <c r="S158" s="3"/>
      <c r="T158" s="3"/>
    </row>
    <row r="159" spans="1:20" ht="90" x14ac:dyDescent="0.25">
      <c r="A159" s="37" t="s">
        <v>677</v>
      </c>
      <c r="B159" s="3">
        <v>80</v>
      </c>
      <c r="C159" s="73" t="str">
        <f t="shared" si="3"/>
        <v>80</v>
      </c>
      <c r="D159" s="3" t="s">
        <v>137</v>
      </c>
      <c r="E159" s="3"/>
      <c r="F159" s="3">
        <v>0</v>
      </c>
      <c r="G159" s="3">
        <v>1</v>
      </c>
      <c r="H159" s="3"/>
      <c r="I159" s="3" t="s">
        <v>87</v>
      </c>
      <c r="J159" s="3"/>
      <c r="K159" s="8" t="s">
        <v>997</v>
      </c>
    </row>
    <row r="160" spans="1:20" x14ac:dyDescent="0.25">
      <c r="A160" s="15" t="s">
        <v>829</v>
      </c>
      <c r="B160" s="3">
        <v>80</v>
      </c>
      <c r="C160" s="73" t="str">
        <f t="shared" si="3"/>
        <v>81</v>
      </c>
      <c r="D160" s="3" t="s">
        <v>128</v>
      </c>
      <c r="F160" s="3">
        <v>0</v>
      </c>
      <c r="G160" s="3">
        <v>6000</v>
      </c>
      <c r="H160" s="3" t="s">
        <v>633</v>
      </c>
      <c r="I160" s="3" t="s">
        <v>87</v>
      </c>
      <c r="K160" s="3" t="s">
        <v>830</v>
      </c>
    </row>
  </sheetData>
  <mergeCells count="4">
    <mergeCell ref="A1:J1"/>
    <mergeCell ref="B3:C3"/>
    <mergeCell ref="K4:T4"/>
    <mergeCell ref="K30:T30"/>
  </mergeCells>
  <pageMargins left="0.7" right="0.7" top="0.75" bottom="0.75" header="0.511811023622047" footer="0.511811023622047"/>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6479-F6F0-485B-9935-FD7FC5CD6550}">
  <dimension ref="A1:T69"/>
  <sheetViews>
    <sheetView zoomScale="98" zoomScaleNormal="100" workbookViewId="0">
      <pane xSplit="1" ySplit="3" topLeftCell="B4" activePane="bottomRight" state="frozen"/>
      <selection pane="topRight" activeCell="B1" sqref="B1"/>
      <selection pane="bottomLeft" activeCell="A4" sqref="A4"/>
      <selection pane="bottomRight" activeCell="D36" sqref="D36"/>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970</v>
      </c>
      <c r="J2" s="3"/>
      <c r="K2" s="1"/>
    </row>
    <row r="3" spans="1:20" x14ac:dyDescent="0.25">
      <c r="A3" s="10" t="s">
        <v>972</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973</v>
      </c>
      <c r="L7" s="3"/>
      <c r="M7" s="3"/>
      <c r="N7" s="3"/>
      <c r="O7" s="3"/>
      <c r="P7" s="3"/>
      <c r="Q7" s="3"/>
      <c r="R7" s="3"/>
      <c r="S7" s="3"/>
      <c r="T7" s="3"/>
    </row>
    <row r="8" spans="1:20" customFormat="1" x14ac:dyDescent="0.25">
      <c r="A8" s="4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58.75" x14ac:dyDescent="0.25">
      <c r="A11" s="4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971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497</v>
      </c>
      <c r="B29" s="53"/>
      <c r="C29" s="53"/>
      <c r="D29" s="53"/>
      <c r="E29" s="53"/>
      <c r="F29" s="53"/>
      <c r="G29" s="53"/>
      <c r="H29" s="53"/>
      <c r="I29" s="53"/>
      <c r="J29" s="53"/>
      <c r="K29" s="101"/>
      <c r="L29" s="102"/>
      <c r="M29" s="102"/>
      <c r="N29" s="102"/>
      <c r="O29" s="102"/>
      <c r="P29" s="102"/>
      <c r="Q29" s="102"/>
      <c r="R29" s="102"/>
      <c r="S29" s="102"/>
      <c r="T29" s="103"/>
    </row>
    <row r="30" spans="1:20" ht="30" x14ac:dyDescent="0.25">
      <c r="A30" s="44"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44"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44" t="s">
        <v>768</v>
      </c>
      <c r="B32" s="3">
        <v>80</v>
      </c>
      <c r="C32" s="73" t="str">
        <f t="shared" ref="C32:C69" si="0">DEC2HEX(HEX2DEC(C31)+1)</f>
        <v>2</v>
      </c>
      <c r="D32" s="3" t="s">
        <v>137</v>
      </c>
      <c r="E32" s="3"/>
      <c r="F32" s="3"/>
      <c r="G32" s="3"/>
      <c r="H32" s="3"/>
      <c r="I32" s="3" t="s">
        <v>103</v>
      </c>
      <c r="J32" s="3"/>
      <c r="K32" s="8" t="s">
        <v>579</v>
      </c>
      <c r="L32" s="3"/>
      <c r="M32" s="3"/>
      <c r="N32" s="3"/>
      <c r="O32" s="3"/>
      <c r="P32" s="3"/>
      <c r="Q32" s="3"/>
      <c r="R32" s="3"/>
      <c r="S32" s="3"/>
      <c r="T32" s="3"/>
    </row>
    <row r="33" spans="1:20" x14ac:dyDescent="0.25">
      <c r="A33" s="37"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20" x14ac:dyDescent="0.25">
      <c r="A34" s="37" t="s">
        <v>991</v>
      </c>
      <c r="B34" s="3">
        <v>80</v>
      </c>
      <c r="C34" s="73" t="str">
        <f t="shared" si="0"/>
        <v>4</v>
      </c>
      <c r="D34" s="3" t="s">
        <v>128</v>
      </c>
      <c r="E34" s="3"/>
      <c r="F34" s="3">
        <v>-32767</v>
      </c>
      <c r="G34" s="3">
        <v>32767</v>
      </c>
      <c r="H34" s="3"/>
      <c r="I34" s="3" t="s">
        <v>87</v>
      </c>
      <c r="J34" s="3"/>
      <c r="L34" s="3"/>
      <c r="M34" s="3"/>
      <c r="N34" s="3"/>
      <c r="O34" s="3"/>
      <c r="P34" s="3"/>
      <c r="Q34" s="3"/>
      <c r="R34" s="3"/>
      <c r="S34" s="3"/>
      <c r="T34" s="3"/>
    </row>
    <row r="35" spans="1:20" x14ac:dyDescent="0.25">
      <c r="A35" s="37" t="s">
        <v>1005</v>
      </c>
      <c r="B35" s="3">
        <v>80</v>
      </c>
      <c r="C35" s="73" t="str">
        <f t="shared" si="0"/>
        <v>5</v>
      </c>
      <c r="D35" s="3" t="s">
        <v>137</v>
      </c>
      <c r="E35" s="3"/>
      <c r="F35" s="3">
        <v>0</v>
      </c>
      <c r="G35" s="3">
        <v>255</v>
      </c>
      <c r="H35" s="3"/>
      <c r="I35" s="3" t="s">
        <v>87</v>
      </c>
      <c r="J35" s="3"/>
      <c r="K35" s="3" t="s">
        <v>1006</v>
      </c>
      <c r="L35" s="3"/>
      <c r="M35" s="3"/>
      <c r="N35" s="3"/>
      <c r="O35" s="3"/>
      <c r="P35" s="3"/>
      <c r="Q35" s="3"/>
      <c r="R35" s="3"/>
      <c r="S35" s="3"/>
      <c r="T35" s="3"/>
    </row>
    <row r="36" spans="1:20" x14ac:dyDescent="0.25">
      <c r="A36" s="37" t="s">
        <v>1007</v>
      </c>
      <c r="B36" s="3">
        <v>80</v>
      </c>
      <c r="C36" s="73" t="str">
        <f t="shared" si="0"/>
        <v>6</v>
      </c>
      <c r="D36" s="3" t="s">
        <v>137</v>
      </c>
      <c r="E36" s="3"/>
      <c r="F36" s="3">
        <v>0</v>
      </c>
      <c r="G36" s="3">
        <v>255</v>
      </c>
      <c r="H36" s="3"/>
      <c r="I36" s="3" t="s">
        <v>93</v>
      </c>
      <c r="J36" s="3"/>
      <c r="K36" s="3" t="s">
        <v>1008</v>
      </c>
      <c r="L36" s="3"/>
      <c r="M36" s="3"/>
      <c r="N36" s="3"/>
      <c r="O36" s="3"/>
      <c r="P36" s="3"/>
      <c r="Q36" s="3"/>
      <c r="R36" s="3"/>
      <c r="S36" s="3"/>
      <c r="T36" s="3"/>
    </row>
    <row r="37" spans="1:20" x14ac:dyDescent="0.25">
      <c r="A37" s="85" t="s">
        <v>992</v>
      </c>
      <c r="B37" s="3">
        <v>80</v>
      </c>
      <c r="C37" s="73" t="str">
        <f t="shared" si="0"/>
        <v>7</v>
      </c>
      <c r="D37" s="3" t="s">
        <v>128</v>
      </c>
      <c r="E37" s="3"/>
      <c r="F37" s="3">
        <v>-32767</v>
      </c>
      <c r="G37" s="3">
        <v>32767</v>
      </c>
      <c r="H37" s="3"/>
      <c r="I37" s="3" t="s">
        <v>93</v>
      </c>
      <c r="J37" s="3"/>
      <c r="L37" s="3"/>
      <c r="M37" s="3"/>
      <c r="N37" s="3"/>
      <c r="O37" s="3"/>
      <c r="P37" s="3"/>
      <c r="Q37" s="3"/>
      <c r="R37" s="3"/>
      <c r="S37" s="3"/>
      <c r="T37" s="3"/>
    </row>
    <row r="38" spans="1:20" x14ac:dyDescent="0.25">
      <c r="A38" s="85" t="s">
        <v>993</v>
      </c>
      <c r="B38" s="3">
        <v>80</v>
      </c>
      <c r="C38" s="73" t="str">
        <f t="shared" si="0"/>
        <v>8</v>
      </c>
      <c r="D38" s="3" t="s">
        <v>128</v>
      </c>
      <c r="E38" s="3"/>
      <c r="F38" s="3">
        <v>-32767</v>
      </c>
      <c r="G38" s="3">
        <v>32767</v>
      </c>
      <c r="H38" s="3"/>
      <c r="I38" s="3" t="s">
        <v>87</v>
      </c>
      <c r="J38" s="3"/>
      <c r="L38" s="3"/>
      <c r="M38" s="3"/>
      <c r="N38" s="3"/>
      <c r="O38" s="3"/>
      <c r="P38" s="3"/>
      <c r="Q38" s="3"/>
      <c r="R38" s="3"/>
      <c r="S38" s="3"/>
      <c r="T38" s="3"/>
    </row>
    <row r="39" spans="1:20" x14ac:dyDescent="0.25">
      <c r="A39" s="43" t="s">
        <v>994</v>
      </c>
      <c r="B39" s="3">
        <v>80</v>
      </c>
      <c r="C39" s="73" t="str">
        <f t="shared" si="0"/>
        <v>9</v>
      </c>
      <c r="D39" s="3" t="s">
        <v>128</v>
      </c>
      <c r="E39" s="3"/>
      <c r="F39" s="3">
        <v>-32767</v>
      </c>
      <c r="G39" s="3">
        <v>32767</v>
      </c>
      <c r="H39" s="3"/>
      <c r="I39" s="3" t="s">
        <v>93</v>
      </c>
      <c r="J39" s="3"/>
      <c r="L39" s="3"/>
      <c r="M39" s="3"/>
      <c r="N39" s="3"/>
      <c r="O39" s="3"/>
      <c r="P39" s="3"/>
      <c r="Q39" s="3"/>
      <c r="R39" s="3"/>
      <c r="S39" s="3"/>
      <c r="T39" s="3"/>
    </row>
    <row r="40" spans="1:20" x14ac:dyDescent="0.25">
      <c r="A40" s="44" t="s">
        <v>167</v>
      </c>
      <c r="B40" s="3">
        <v>80</v>
      </c>
      <c r="C40" s="73" t="str">
        <f t="shared" si="0"/>
        <v>A</v>
      </c>
      <c r="D40" s="3" t="s">
        <v>240</v>
      </c>
      <c r="E40" s="3"/>
      <c r="F40" s="3"/>
      <c r="G40" s="3"/>
      <c r="H40" s="3"/>
      <c r="I40" s="3"/>
      <c r="J40" s="3"/>
      <c r="L40" s="3"/>
      <c r="M40" s="3"/>
      <c r="N40" s="3"/>
      <c r="O40" s="3"/>
      <c r="P40" s="3"/>
      <c r="Q40" s="3"/>
      <c r="R40" s="3"/>
      <c r="S40" s="3"/>
      <c r="T40" s="3"/>
    </row>
    <row r="41" spans="1:20" x14ac:dyDescent="0.25">
      <c r="A41" s="43" t="s">
        <v>574</v>
      </c>
      <c r="B41" s="3">
        <v>80</v>
      </c>
      <c r="C41" s="73" t="str">
        <f t="shared" si="0"/>
        <v>B</v>
      </c>
      <c r="D41" s="3" t="s">
        <v>137</v>
      </c>
      <c r="E41" s="3"/>
      <c r="F41" s="3">
        <v>0</v>
      </c>
      <c r="G41" s="3">
        <v>7</v>
      </c>
      <c r="H41" s="3"/>
      <c r="I41" s="3" t="s">
        <v>93</v>
      </c>
      <c r="J41" s="3"/>
      <c r="K41" s="3" t="s">
        <v>581</v>
      </c>
      <c r="L41" s="3"/>
      <c r="M41" s="3"/>
      <c r="N41" s="3"/>
      <c r="O41" s="3"/>
      <c r="P41" s="3"/>
      <c r="Q41" s="3"/>
      <c r="R41" s="3"/>
      <c r="S41" s="3"/>
      <c r="T41" s="3"/>
    </row>
    <row r="42" spans="1:20" x14ac:dyDescent="0.25">
      <c r="A42" s="43" t="s">
        <v>568</v>
      </c>
      <c r="B42" s="3">
        <v>80</v>
      </c>
      <c r="C42" s="73" t="str">
        <f t="shared" si="0"/>
        <v>C</v>
      </c>
      <c r="D42" s="3"/>
      <c r="E42" s="3"/>
      <c r="F42" s="3"/>
      <c r="G42" s="3"/>
      <c r="H42" s="3"/>
      <c r="I42" s="3"/>
      <c r="J42" s="3" t="s">
        <v>479</v>
      </c>
      <c r="L42" s="3"/>
      <c r="M42" s="3"/>
      <c r="N42" s="3"/>
      <c r="O42" s="3"/>
      <c r="P42" s="3"/>
      <c r="Q42" s="3"/>
      <c r="R42" s="3"/>
      <c r="S42" s="3"/>
      <c r="T42" s="3"/>
    </row>
    <row r="43" spans="1:20" x14ac:dyDescent="0.25">
      <c r="A43" s="43" t="s">
        <v>531</v>
      </c>
      <c r="B43" s="3">
        <v>80</v>
      </c>
      <c r="C43" s="73" t="str">
        <f t="shared" si="0"/>
        <v>D</v>
      </c>
      <c r="D43" s="3"/>
      <c r="E43" s="3"/>
      <c r="F43" s="3"/>
      <c r="G43" s="3"/>
      <c r="H43" s="3"/>
      <c r="I43" s="3"/>
      <c r="J43" s="3" t="s">
        <v>479</v>
      </c>
      <c r="L43" s="3"/>
      <c r="M43" s="3"/>
      <c r="N43" s="3"/>
      <c r="O43" s="3"/>
      <c r="P43" s="3"/>
      <c r="Q43" s="3"/>
      <c r="R43" s="3"/>
      <c r="S43" s="3"/>
      <c r="T43" s="3"/>
    </row>
    <row r="44" spans="1:20" x14ac:dyDescent="0.25">
      <c r="A44" s="43" t="s">
        <v>532</v>
      </c>
      <c r="B44" s="3">
        <v>80</v>
      </c>
      <c r="C44" s="73" t="str">
        <f t="shared" si="0"/>
        <v>E</v>
      </c>
      <c r="D44" s="3"/>
      <c r="E44" s="3"/>
      <c r="F44" s="3"/>
      <c r="G44" s="3"/>
      <c r="H44" s="3"/>
      <c r="I44" s="3"/>
      <c r="J44" s="3" t="s">
        <v>479</v>
      </c>
      <c r="L44" s="3"/>
      <c r="M44" s="3"/>
      <c r="N44" s="3"/>
      <c r="O44" s="3"/>
      <c r="P44" s="3"/>
      <c r="Q44" s="3"/>
      <c r="R44" s="3"/>
      <c r="S44" s="3"/>
      <c r="T44" s="3"/>
    </row>
    <row r="45" spans="1:20" x14ac:dyDescent="0.25">
      <c r="A45" s="43" t="s">
        <v>533</v>
      </c>
      <c r="B45" s="3">
        <v>80</v>
      </c>
      <c r="C45" s="73" t="str">
        <f t="shared" si="0"/>
        <v>F</v>
      </c>
      <c r="D45" s="3"/>
      <c r="E45" s="3"/>
      <c r="F45" s="3"/>
      <c r="G45" s="3"/>
      <c r="H45" s="3"/>
      <c r="I45" s="3"/>
      <c r="J45" s="3" t="s">
        <v>479</v>
      </c>
      <c r="L45" s="3"/>
      <c r="M45" s="3"/>
      <c r="N45" s="3"/>
      <c r="O45" s="3"/>
      <c r="P45" s="3"/>
      <c r="Q45" s="3"/>
      <c r="R45" s="3"/>
      <c r="S45" s="3"/>
      <c r="T45" s="3"/>
    </row>
    <row r="46" spans="1:20" x14ac:dyDescent="0.25">
      <c r="A46" s="43" t="s">
        <v>534</v>
      </c>
      <c r="B46" s="3">
        <v>80</v>
      </c>
      <c r="C46" s="73" t="str">
        <f t="shared" si="0"/>
        <v>10</v>
      </c>
      <c r="D46" s="3"/>
      <c r="E46" s="3"/>
      <c r="F46" s="3"/>
      <c r="G46" s="3"/>
      <c r="H46" s="3"/>
      <c r="I46" s="3"/>
      <c r="J46" s="3" t="s">
        <v>479</v>
      </c>
      <c r="L46" s="3"/>
      <c r="M46" s="3"/>
      <c r="N46" s="3"/>
      <c r="O46" s="3"/>
      <c r="P46" s="3"/>
      <c r="Q46" s="3"/>
      <c r="R46" s="3"/>
      <c r="S46" s="3"/>
      <c r="T46" s="3"/>
    </row>
    <row r="47" spans="1:20" x14ac:dyDescent="0.25">
      <c r="A47" s="43" t="s">
        <v>535</v>
      </c>
      <c r="B47" s="3">
        <v>80</v>
      </c>
      <c r="C47" s="73" t="str">
        <f t="shared" si="0"/>
        <v>11</v>
      </c>
      <c r="D47" s="3"/>
      <c r="E47" s="3"/>
      <c r="F47" s="3"/>
      <c r="G47" s="3"/>
      <c r="H47" s="3"/>
      <c r="I47" s="3"/>
      <c r="J47" s="3" t="s">
        <v>479</v>
      </c>
      <c r="L47" s="3"/>
      <c r="M47" s="3"/>
      <c r="N47" s="3"/>
      <c r="O47" s="3"/>
      <c r="P47" s="3"/>
      <c r="Q47" s="3"/>
      <c r="R47" s="3"/>
      <c r="S47" s="3"/>
      <c r="T47" s="3"/>
    </row>
    <row r="48" spans="1:20" x14ac:dyDescent="0.25">
      <c r="A48" s="43" t="s">
        <v>536</v>
      </c>
      <c r="B48" s="3">
        <v>80</v>
      </c>
      <c r="C48" s="73" t="str">
        <f t="shared" si="0"/>
        <v>12</v>
      </c>
      <c r="D48" s="3"/>
      <c r="E48" s="3"/>
      <c r="F48" s="3"/>
      <c r="G48" s="3"/>
      <c r="H48" s="3"/>
      <c r="I48" s="3"/>
      <c r="J48" s="3" t="s">
        <v>479</v>
      </c>
      <c r="L48" s="3"/>
      <c r="M48" s="3"/>
      <c r="N48" s="3"/>
      <c r="O48" s="3"/>
      <c r="P48" s="3"/>
      <c r="Q48" s="3"/>
      <c r="R48" s="3"/>
      <c r="S48" s="3"/>
      <c r="T48" s="3"/>
    </row>
    <row r="49" spans="1:20" x14ac:dyDescent="0.25">
      <c r="A49" s="43" t="s">
        <v>537</v>
      </c>
      <c r="B49" s="3">
        <v>80</v>
      </c>
      <c r="C49" s="73" t="str">
        <f t="shared" si="0"/>
        <v>13</v>
      </c>
      <c r="D49" s="3"/>
      <c r="E49" s="3"/>
      <c r="F49" s="3"/>
      <c r="G49" s="3"/>
      <c r="H49" s="3"/>
      <c r="I49" s="3"/>
      <c r="J49" s="3" t="s">
        <v>479</v>
      </c>
      <c r="L49" s="3"/>
      <c r="M49" s="3"/>
      <c r="N49" s="3"/>
      <c r="O49" s="3"/>
      <c r="P49" s="3"/>
      <c r="Q49" s="3"/>
      <c r="R49" s="3"/>
      <c r="S49" s="3"/>
      <c r="T49" s="3"/>
    </row>
    <row r="50" spans="1:20" x14ac:dyDescent="0.25">
      <c r="A50" s="43" t="s">
        <v>538</v>
      </c>
      <c r="B50" s="3">
        <v>80</v>
      </c>
      <c r="C50" s="73" t="str">
        <f t="shared" si="0"/>
        <v>14</v>
      </c>
      <c r="D50" s="3"/>
      <c r="E50" s="3"/>
      <c r="F50" s="3"/>
      <c r="G50" s="3"/>
      <c r="H50" s="3"/>
      <c r="I50" s="3"/>
      <c r="J50" s="3" t="s">
        <v>479</v>
      </c>
      <c r="L50" s="3"/>
      <c r="M50" s="3"/>
      <c r="N50" s="3"/>
      <c r="O50" s="3"/>
      <c r="P50" s="3"/>
      <c r="Q50" s="3"/>
      <c r="R50" s="3"/>
      <c r="S50" s="3"/>
      <c r="T50" s="3"/>
    </row>
    <row r="51" spans="1:20" x14ac:dyDescent="0.25">
      <c r="A51" s="43" t="s">
        <v>539</v>
      </c>
      <c r="B51" s="3">
        <v>80</v>
      </c>
      <c r="C51" s="73" t="str">
        <f t="shared" si="0"/>
        <v>15</v>
      </c>
      <c r="D51" s="3"/>
      <c r="E51" s="3"/>
      <c r="F51" s="3"/>
      <c r="G51" s="3"/>
      <c r="H51" s="3"/>
      <c r="I51" s="3"/>
      <c r="J51" s="3" t="s">
        <v>479</v>
      </c>
      <c r="L51" s="3"/>
      <c r="M51" s="3"/>
      <c r="N51" s="3"/>
      <c r="O51" s="3"/>
      <c r="P51" s="3"/>
      <c r="Q51" s="3"/>
      <c r="R51" s="3"/>
      <c r="S51" s="3"/>
      <c r="T51" s="3"/>
    </row>
    <row r="52" spans="1:20" x14ac:dyDescent="0.25">
      <c r="A52" s="43" t="s">
        <v>540</v>
      </c>
      <c r="B52" s="3">
        <v>80</v>
      </c>
      <c r="C52" s="73" t="str">
        <f t="shared" si="0"/>
        <v>16</v>
      </c>
      <c r="D52" s="3"/>
      <c r="E52" s="3"/>
      <c r="F52" s="3"/>
      <c r="G52" s="3"/>
      <c r="H52" s="3"/>
      <c r="I52" s="3"/>
      <c r="J52" s="3" t="s">
        <v>479</v>
      </c>
      <c r="L52" s="3"/>
      <c r="M52" s="3"/>
      <c r="N52" s="3"/>
      <c r="O52" s="3"/>
      <c r="P52" s="3"/>
      <c r="Q52" s="3"/>
      <c r="R52" s="3"/>
      <c r="S52" s="3"/>
      <c r="T52" s="3"/>
    </row>
    <row r="53" spans="1:20" x14ac:dyDescent="0.25">
      <c r="A53" s="43" t="s">
        <v>343</v>
      </c>
      <c r="B53" s="3">
        <v>80</v>
      </c>
      <c r="C53" s="73" t="str">
        <f t="shared" si="0"/>
        <v>17</v>
      </c>
      <c r="D53" s="3" t="s">
        <v>140</v>
      </c>
      <c r="E53" s="3"/>
      <c r="F53" s="3">
        <v>0</v>
      </c>
      <c r="G53" s="3">
        <v>1</v>
      </c>
      <c r="H53" s="3"/>
      <c r="I53" s="3" t="s">
        <v>87</v>
      </c>
      <c r="J53" s="3"/>
      <c r="K53" s="3" t="s">
        <v>641</v>
      </c>
      <c r="L53" s="3"/>
      <c r="M53" s="3"/>
      <c r="N53" s="3"/>
      <c r="O53" s="3"/>
      <c r="P53" s="3"/>
      <c r="Q53" s="3"/>
      <c r="R53" s="3"/>
      <c r="S53" s="3"/>
      <c r="T53" s="3"/>
    </row>
    <row r="54" spans="1:20" x14ac:dyDescent="0.25">
      <c r="A54" s="43" t="s">
        <v>375</v>
      </c>
      <c r="B54" s="3">
        <v>80</v>
      </c>
      <c r="C54" s="73" t="str">
        <f t="shared" si="0"/>
        <v>18</v>
      </c>
      <c r="D54" s="3"/>
      <c r="E54" s="3"/>
      <c r="F54" s="3"/>
      <c r="G54" s="3"/>
      <c r="H54" s="3"/>
      <c r="I54" s="3"/>
      <c r="J54" s="3" t="s">
        <v>479</v>
      </c>
      <c r="L54" s="3"/>
      <c r="M54" s="3"/>
      <c r="N54" s="3"/>
      <c r="O54" s="3"/>
      <c r="P54" s="3"/>
      <c r="Q54" s="3"/>
      <c r="R54" s="3"/>
      <c r="S54" s="3"/>
      <c r="T54" s="3"/>
    </row>
    <row r="55" spans="1:20" x14ac:dyDescent="0.25">
      <c r="A55" s="43" t="s">
        <v>376</v>
      </c>
      <c r="B55" s="3">
        <v>80</v>
      </c>
      <c r="C55" s="73" t="str">
        <f t="shared" si="0"/>
        <v>19</v>
      </c>
      <c r="D55" s="3"/>
      <c r="E55" s="3"/>
      <c r="F55" s="3"/>
      <c r="G55" s="3"/>
      <c r="H55" s="3"/>
      <c r="I55" s="3"/>
      <c r="J55" s="3" t="s">
        <v>479</v>
      </c>
      <c r="L55" s="3"/>
      <c r="M55" s="3"/>
      <c r="N55" s="3"/>
      <c r="O55" s="3"/>
      <c r="P55" s="3"/>
      <c r="Q55" s="3"/>
      <c r="R55" s="3"/>
      <c r="S55" s="3"/>
      <c r="T55" s="3"/>
    </row>
    <row r="56" spans="1:20" x14ac:dyDescent="0.25">
      <c r="A56" s="43" t="s">
        <v>377</v>
      </c>
      <c r="B56" s="3">
        <v>80</v>
      </c>
      <c r="C56" s="73" t="str">
        <f t="shared" si="0"/>
        <v>1A</v>
      </c>
      <c r="D56" s="3"/>
      <c r="E56" s="3"/>
      <c r="F56" s="3"/>
      <c r="G56" s="3"/>
      <c r="H56" s="3"/>
      <c r="I56" s="3"/>
      <c r="J56" s="3" t="s">
        <v>479</v>
      </c>
      <c r="L56" s="3"/>
      <c r="M56" s="3"/>
      <c r="N56" s="3"/>
      <c r="O56" s="3"/>
      <c r="P56" s="3"/>
      <c r="Q56" s="3"/>
      <c r="R56" s="3"/>
      <c r="S56" s="3"/>
      <c r="T56" s="3"/>
    </row>
    <row r="57" spans="1:20" x14ac:dyDescent="0.25">
      <c r="A57" s="43" t="s">
        <v>378</v>
      </c>
      <c r="B57" s="3">
        <v>80</v>
      </c>
      <c r="C57" s="73" t="str">
        <f t="shared" si="0"/>
        <v>1B</v>
      </c>
      <c r="D57" s="3"/>
      <c r="E57" s="3"/>
      <c r="F57" s="3"/>
      <c r="G57" s="3"/>
      <c r="H57" s="3"/>
      <c r="I57" s="3"/>
      <c r="J57" s="3" t="s">
        <v>479</v>
      </c>
      <c r="L57" s="3"/>
      <c r="M57" s="3"/>
      <c r="N57" s="3"/>
      <c r="O57" s="3"/>
      <c r="P57" s="3"/>
      <c r="Q57" s="3"/>
      <c r="R57" s="3"/>
      <c r="S57" s="3"/>
      <c r="T57" s="3"/>
    </row>
    <row r="58" spans="1:20" x14ac:dyDescent="0.25">
      <c r="A58" s="43" t="s">
        <v>343</v>
      </c>
      <c r="B58" s="3">
        <v>80</v>
      </c>
      <c r="C58" s="73" t="str">
        <f t="shared" si="0"/>
        <v>1C</v>
      </c>
      <c r="D58" s="3"/>
      <c r="E58" s="3"/>
      <c r="F58" s="3"/>
      <c r="G58" s="3"/>
      <c r="H58" s="3"/>
      <c r="I58" s="3"/>
      <c r="J58" s="3"/>
      <c r="L58" s="3"/>
      <c r="M58" s="3"/>
    </row>
    <row r="59" spans="1:20" x14ac:dyDescent="0.25">
      <c r="A59" s="43" t="s">
        <v>642</v>
      </c>
      <c r="B59" s="3">
        <v>80</v>
      </c>
      <c r="C59" s="73" t="str">
        <f t="shared" si="0"/>
        <v>1D</v>
      </c>
      <c r="D59" s="3" t="s">
        <v>240</v>
      </c>
      <c r="E59" s="3"/>
      <c r="F59" s="3">
        <v>0</v>
      </c>
      <c r="G59" s="3">
        <v>32767</v>
      </c>
      <c r="H59" s="3" t="s">
        <v>633</v>
      </c>
      <c r="I59" s="3" t="s">
        <v>93</v>
      </c>
      <c r="J59" s="3"/>
      <c r="L59" s="3"/>
      <c r="M59" s="3"/>
      <c r="N59" s="3"/>
      <c r="O59" s="3"/>
      <c r="P59" s="3"/>
      <c r="Q59" s="3"/>
      <c r="R59" s="3"/>
      <c r="S59" s="3"/>
      <c r="T59" s="3"/>
    </row>
    <row r="60" spans="1:20" x14ac:dyDescent="0.25">
      <c r="A60" s="43" t="s">
        <v>643</v>
      </c>
      <c r="B60" s="3">
        <v>80</v>
      </c>
      <c r="C60" s="73" t="str">
        <f t="shared" si="0"/>
        <v>1E</v>
      </c>
      <c r="D60" s="3" t="s">
        <v>240</v>
      </c>
      <c r="E60" s="3"/>
      <c r="F60" s="3">
        <v>0</v>
      </c>
      <c r="G60" s="3">
        <v>32767</v>
      </c>
      <c r="H60" s="3" t="s">
        <v>633</v>
      </c>
      <c r="I60" s="3" t="s">
        <v>93</v>
      </c>
      <c r="J60" s="3"/>
      <c r="L60" s="3"/>
      <c r="M60" s="3"/>
      <c r="N60" s="3"/>
      <c r="O60" s="3"/>
      <c r="P60" s="3"/>
      <c r="Q60" s="3"/>
      <c r="R60" s="3"/>
      <c r="S60" s="3"/>
      <c r="T60" s="3"/>
    </row>
    <row r="61" spans="1:20" x14ac:dyDescent="0.25">
      <c r="A61" s="44" t="s">
        <v>645</v>
      </c>
      <c r="B61" s="3">
        <v>80</v>
      </c>
      <c r="C61" s="73" t="str">
        <f t="shared" si="0"/>
        <v>1F</v>
      </c>
      <c r="D61" s="3" t="s">
        <v>225</v>
      </c>
      <c r="E61" s="3"/>
      <c r="F61" s="3" t="s">
        <v>646</v>
      </c>
      <c r="G61" s="3" t="s">
        <v>647</v>
      </c>
      <c r="H61" s="3" t="s">
        <v>648</v>
      </c>
      <c r="I61" s="3" t="s">
        <v>87</v>
      </c>
      <c r="J61" s="3"/>
      <c r="K61" s="3" t="s">
        <v>649</v>
      </c>
      <c r="L61" s="3"/>
      <c r="M61" s="3"/>
      <c r="N61" s="3"/>
      <c r="O61" s="3"/>
      <c r="P61" s="3"/>
      <c r="Q61" s="3"/>
      <c r="R61" s="3"/>
      <c r="S61" s="3"/>
      <c r="T61" s="3"/>
    </row>
    <row r="62" spans="1:20" x14ac:dyDescent="0.25">
      <c r="A62" s="44" t="s">
        <v>659</v>
      </c>
      <c r="B62" s="3">
        <v>80</v>
      </c>
      <c r="C62" s="73" t="str">
        <f t="shared" si="0"/>
        <v>20</v>
      </c>
      <c r="D62" s="3" t="s">
        <v>225</v>
      </c>
      <c r="E62" s="3"/>
      <c r="F62" s="3" t="s">
        <v>646</v>
      </c>
      <c r="G62" s="3" t="s">
        <v>647</v>
      </c>
      <c r="H62" s="3" t="s">
        <v>648</v>
      </c>
      <c r="I62" s="3" t="s">
        <v>87</v>
      </c>
      <c r="J62" s="3"/>
      <c r="K62" s="3" t="s">
        <v>650</v>
      </c>
      <c r="L62" s="3"/>
      <c r="M62" s="3"/>
      <c r="N62" s="3"/>
      <c r="O62" s="3"/>
      <c r="P62" s="3"/>
      <c r="Q62" s="3"/>
      <c r="R62" s="3"/>
      <c r="S62" s="3"/>
      <c r="T62" s="3"/>
    </row>
    <row r="63" spans="1:20" x14ac:dyDescent="0.25">
      <c r="A63" s="43" t="s">
        <v>343</v>
      </c>
      <c r="B63" s="3">
        <v>80</v>
      </c>
      <c r="C63" s="73" t="str">
        <f t="shared" si="0"/>
        <v>21</v>
      </c>
      <c r="D63" s="3"/>
      <c r="E63" s="3"/>
      <c r="F63" s="3"/>
      <c r="G63" s="3"/>
      <c r="H63" s="3"/>
      <c r="I63" s="3"/>
      <c r="J63" s="3"/>
      <c r="L63" s="3"/>
    </row>
    <row r="64" spans="1:20" x14ac:dyDescent="0.25">
      <c r="A64" s="86" t="s">
        <v>667</v>
      </c>
      <c r="B64" s="3">
        <v>80</v>
      </c>
      <c r="C64" s="73" t="str">
        <f t="shared" si="0"/>
        <v>22</v>
      </c>
      <c r="D64" s="3" t="s">
        <v>140</v>
      </c>
      <c r="E64" s="3"/>
      <c r="F64" s="3">
        <v>0</v>
      </c>
      <c r="G64" s="3">
        <v>1</v>
      </c>
      <c r="H64" s="3"/>
      <c r="I64" s="3" t="s">
        <v>87</v>
      </c>
      <c r="J64" s="3"/>
      <c r="K64" s="8" t="s">
        <v>673</v>
      </c>
    </row>
    <row r="65" spans="1:11" x14ac:dyDescent="0.25">
      <c r="A65" s="43" t="s">
        <v>668</v>
      </c>
      <c r="B65" s="3">
        <v>80</v>
      </c>
      <c r="C65" s="73" t="str">
        <f t="shared" si="0"/>
        <v>23</v>
      </c>
      <c r="D65" s="3" t="s">
        <v>240</v>
      </c>
      <c r="E65" s="3"/>
      <c r="F65" s="3">
        <v>20</v>
      </c>
      <c r="G65" s="3">
        <v>600</v>
      </c>
      <c r="H65" s="3" t="s">
        <v>671</v>
      </c>
      <c r="I65" s="3" t="s">
        <v>87</v>
      </c>
      <c r="J65" s="3"/>
      <c r="K65" s="8"/>
    </row>
    <row r="66" spans="1:11" x14ac:dyDescent="0.25">
      <c r="A66" s="43" t="s">
        <v>784</v>
      </c>
      <c r="B66" s="3">
        <v>80</v>
      </c>
      <c r="C66" s="73" t="str">
        <f t="shared" si="0"/>
        <v>24</v>
      </c>
      <c r="D66" s="3" t="s">
        <v>140</v>
      </c>
      <c r="E66" s="3"/>
      <c r="F66" s="3">
        <v>0</v>
      </c>
      <c r="G66" s="3">
        <v>1</v>
      </c>
      <c r="H66" s="3"/>
      <c r="I66" s="3" t="s">
        <v>93</v>
      </c>
      <c r="J66" s="3"/>
      <c r="K66" s="1"/>
    </row>
    <row r="67" spans="1:11" x14ac:dyDescent="0.25">
      <c r="A67" s="43" t="s">
        <v>785</v>
      </c>
      <c r="B67" s="3">
        <v>80</v>
      </c>
      <c r="C67" s="73" t="str">
        <f t="shared" si="0"/>
        <v>25</v>
      </c>
      <c r="D67" s="3" t="s">
        <v>140</v>
      </c>
      <c r="E67" s="3"/>
      <c r="F67" s="3">
        <v>0</v>
      </c>
      <c r="G67" s="3">
        <v>1</v>
      </c>
      <c r="H67" s="3"/>
      <c r="I67" s="3" t="s">
        <v>93</v>
      </c>
    </row>
    <row r="68" spans="1:11" x14ac:dyDescent="0.25">
      <c r="A68" s="43" t="s">
        <v>787</v>
      </c>
      <c r="B68" s="3">
        <v>80</v>
      </c>
      <c r="C68" s="73" t="str">
        <f t="shared" si="0"/>
        <v>26</v>
      </c>
      <c r="D68" s="3" t="s">
        <v>140</v>
      </c>
      <c r="E68" s="3"/>
      <c r="F68" s="3">
        <v>0</v>
      </c>
      <c r="G68" s="3">
        <v>1</v>
      </c>
      <c r="H68" s="3"/>
      <c r="I68" s="3" t="s">
        <v>93</v>
      </c>
    </row>
    <row r="69" spans="1:11" x14ac:dyDescent="0.25">
      <c r="A69" s="43" t="s">
        <v>786</v>
      </c>
      <c r="B69" s="3">
        <v>80</v>
      </c>
      <c r="C69" s="73" t="str">
        <f t="shared" si="0"/>
        <v>27</v>
      </c>
      <c r="D69" s="3" t="s">
        <v>140</v>
      </c>
      <c r="E69" s="3"/>
      <c r="F69" s="3">
        <v>0</v>
      </c>
      <c r="G69" s="3">
        <v>1</v>
      </c>
      <c r="H69" s="3"/>
      <c r="I69" s="3" t="s">
        <v>93</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E6F8-4237-4DA3-9BDE-FF89083A6397}">
  <dimension ref="A1:T68"/>
  <sheetViews>
    <sheetView zoomScale="98" zoomScaleNormal="100" workbookViewId="0">
      <pane xSplit="1" ySplit="3" topLeftCell="B31" activePane="bottomRight" state="frozen"/>
      <selection pane="topRight" activeCell="B1" sqref="B1"/>
      <selection pane="bottomLeft" activeCell="A4" sqref="A4"/>
      <selection pane="bottomRight" activeCell="A35" sqref="A35:XFD36"/>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998</v>
      </c>
      <c r="J2" s="3"/>
      <c r="K2" s="1"/>
    </row>
    <row r="3" spans="1:20" x14ac:dyDescent="0.25">
      <c r="A3" s="10" t="s">
        <v>972</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973</v>
      </c>
      <c r="L7" s="3"/>
      <c r="M7" s="3"/>
      <c r="N7" s="3"/>
      <c r="O7" s="3"/>
      <c r="P7" s="3"/>
      <c r="Q7" s="3"/>
      <c r="R7" s="3"/>
      <c r="S7" s="3"/>
      <c r="T7" s="3"/>
    </row>
    <row r="8" spans="1:20" customFormat="1" x14ac:dyDescent="0.25">
      <c r="A8" s="4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58.75" x14ac:dyDescent="0.25">
      <c r="A11" s="4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971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497</v>
      </c>
      <c r="B29" s="53"/>
      <c r="C29" s="53"/>
      <c r="D29" s="53"/>
      <c r="E29" s="53"/>
      <c r="F29" s="53"/>
      <c r="G29" s="53"/>
      <c r="H29" s="53"/>
      <c r="I29" s="53"/>
      <c r="J29" s="53"/>
      <c r="K29" s="101"/>
      <c r="L29" s="102"/>
      <c r="M29" s="102"/>
      <c r="N29" s="102"/>
      <c r="O29" s="102"/>
      <c r="P29" s="102"/>
      <c r="Q29" s="102"/>
      <c r="R29" s="102"/>
      <c r="S29" s="102"/>
      <c r="T29" s="103"/>
    </row>
    <row r="30" spans="1:20" ht="30" x14ac:dyDescent="0.25">
      <c r="A30" s="44"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44"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44" t="s">
        <v>768</v>
      </c>
      <c r="B32" s="3">
        <v>80</v>
      </c>
      <c r="C32" s="73" t="str">
        <f t="shared" ref="C32:C68" si="0">DEC2HEX(HEX2DEC(C31)+1)</f>
        <v>2</v>
      </c>
      <c r="D32" s="3" t="s">
        <v>137</v>
      </c>
      <c r="E32" s="3"/>
      <c r="F32" s="3"/>
      <c r="G32" s="3"/>
      <c r="H32" s="3"/>
      <c r="I32" s="3" t="s">
        <v>103</v>
      </c>
      <c r="J32" s="3"/>
      <c r="K32" s="8" t="s">
        <v>579</v>
      </c>
      <c r="L32" s="3"/>
      <c r="M32" s="3"/>
      <c r="N32" s="3"/>
      <c r="O32" s="3"/>
      <c r="P32" s="3"/>
      <c r="Q32" s="3"/>
      <c r="R32" s="3"/>
      <c r="S32" s="3"/>
      <c r="T32" s="3"/>
    </row>
    <row r="33" spans="1:20" x14ac:dyDescent="0.25">
      <c r="A33" s="37"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20" x14ac:dyDescent="0.25">
      <c r="A34" s="37" t="s">
        <v>991</v>
      </c>
      <c r="B34" s="3">
        <v>80</v>
      </c>
      <c r="C34" s="73" t="str">
        <f t="shared" si="0"/>
        <v>4</v>
      </c>
      <c r="D34" s="3" t="s">
        <v>128</v>
      </c>
      <c r="E34" s="3"/>
      <c r="F34" s="3">
        <v>-32767</v>
      </c>
      <c r="G34" s="3">
        <v>32767</v>
      </c>
      <c r="H34" s="3"/>
      <c r="I34" s="3" t="s">
        <v>87</v>
      </c>
      <c r="J34" s="3"/>
      <c r="L34" s="3"/>
      <c r="M34" s="3"/>
      <c r="N34" s="3"/>
      <c r="O34" s="3"/>
      <c r="P34" s="3"/>
      <c r="Q34" s="3"/>
      <c r="R34" s="3"/>
      <c r="S34" s="3"/>
      <c r="T34" s="3"/>
    </row>
    <row r="35" spans="1:20" x14ac:dyDescent="0.25">
      <c r="A35" s="37" t="s">
        <v>1005</v>
      </c>
      <c r="B35" s="3">
        <v>80</v>
      </c>
      <c r="C35" s="73" t="str">
        <f t="shared" si="0"/>
        <v>5</v>
      </c>
      <c r="D35" s="3" t="s">
        <v>137</v>
      </c>
      <c r="E35" s="3"/>
      <c r="F35" s="3">
        <v>0</v>
      </c>
      <c r="G35" s="3">
        <v>255</v>
      </c>
      <c r="H35" s="3"/>
      <c r="I35" s="3" t="s">
        <v>87</v>
      </c>
      <c r="J35" s="3"/>
      <c r="K35" s="3" t="s">
        <v>1006</v>
      </c>
      <c r="L35" s="3"/>
      <c r="M35" s="3"/>
      <c r="N35" s="3"/>
      <c r="O35" s="3"/>
      <c r="P35" s="3"/>
      <c r="Q35" s="3"/>
      <c r="R35" s="3"/>
      <c r="S35" s="3"/>
      <c r="T35" s="3"/>
    </row>
    <row r="36" spans="1:20" x14ac:dyDescent="0.25">
      <c r="A36" s="37" t="s">
        <v>1007</v>
      </c>
      <c r="B36" s="3">
        <v>80</v>
      </c>
      <c r="C36" s="73" t="str">
        <f t="shared" si="0"/>
        <v>6</v>
      </c>
      <c r="D36" s="3" t="s">
        <v>137</v>
      </c>
      <c r="E36" s="3"/>
      <c r="F36" s="3">
        <v>0</v>
      </c>
      <c r="G36" s="3">
        <v>255</v>
      </c>
      <c r="H36" s="3"/>
      <c r="I36" s="3" t="s">
        <v>93</v>
      </c>
      <c r="J36" s="3"/>
      <c r="K36" s="3" t="s">
        <v>1008</v>
      </c>
      <c r="L36" s="3"/>
      <c r="M36" s="3"/>
      <c r="N36" s="3"/>
      <c r="O36" s="3"/>
      <c r="P36" s="3"/>
      <c r="Q36" s="3"/>
      <c r="R36" s="3"/>
      <c r="S36" s="3"/>
      <c r="T36" s="3"/>
    </row>
    <row r="37" spans="1:20" x14ac:dyDescent="0.25">
      <c r="A37" s="85" t="s">
        <v>993</v>
      </c>
      <c r="B37" s="3">
        <v>80</v>
      </c>
      <c r="C37" s="73" t="str">
        <f t="shared" si="0"/>
        <v>7</v>
      </c>
      <c r="D37" s="3" t="s">
        <v>128</v>
      </c>
      <c r="E37" s="3"/>
      <c r="F37" s="3">
        <v>-32767</v>
      </c>
      <c r="G37" s="3">
        <v>32767</v>
      </c>
      <c r="H37" s="3"/>
      <c r="I37" s="3" t="s">
        <v>87</v>
      </c>
      <c r="J37" s="3"/>
      <c r="L37" s="3"/>
      <c r="M37" s="3"/>
      <c r="N37" s="3"/>
      <c r="O37" s="3"/>
      <c r="P37" s="3"/>
      <c r="Q37" s="3"/>
      <c r="R37" s="3"/>
      <c r="S37" s="3"/>
      <c r="T37" s="3"/>
    </row>
    <row r="38" spans="1:20" x14ac:dyDescent="0.25">
      <c r="A38" s="43" t="s">
        <v>994</v>
      </c>
      <c r="B38" s="3">
        <v>80</v>
      </c>
      <c r="C38" s="73" t="str">
        <f t="shared" si="0"/>
        <v>8</v>
      </c>
      <c r="D38" s="3" t="s">
        <v>128</v>
      </c>
      <c r="E38" s="3"/>
      <c r="F38" s="3">
        <v>-32767</v>
      </c>
      <c r="G38" s="3">
        <v>32767</v>
      </c>
      <c r="H38" s="3"/>
      <c r="I38" s="3" t="s">
        <v>93</v>
      </c>
      <c r="J38" s="3"/>
      <c r="L38" s="3"/>
      <c r="M38" s="3"/>
      <c r="N38" s="3"/>
      <c r="O38" s="3"/>
      <c r="P38" s="3"/>
      <c r="Q38" s="3"/>
      <c r="R38" s="3"/>
      <c r="S38" s="3"/>
      <c r="T38" s="3"/>
    </row>
    <row r="39" spans="1:20" x14ac:dyDescent="0.25">
      <c r="A39" s="44" t="s">
        <v>167</v>
      </c>
      <c r="B39" s="3">
        <v>80</v>
      </c>
      <c r="C39" s="73" t="str">
        <f t="shared" si="0"/>
        <v>9</v>
      </c>
      <c r="D39" s="3" t="s">
        <v>240</v>
      </c>
      <c r="E39" s="3"/>
      <c r="F39" s="3"/>
      <c r="G39" s="3"/>
      <c r="H39" s="3"/>
      <c r="I39" s="3"/>
      <c r="J39" s="3"/>
      <c r="L39" s="3"/>
      <c r="M39" s="3"/>
      <c r="N39" s="3"/>
      <c r="O39" s="3"/>
      <c r="P39" s="3"/>
      <c r="Q39" s="3"/>
      <c r="R39" s="3"/>
      <c r="S39" s="3"/>
      <c r="T39" s="3"/>
    </row>
    <row r="40" spans="1:20" x14ac:dyDescent="0.25">
      <c r="A40" s="43" t="s">
        <v>574</v>
      </c>
      <c r="B40" s="3">
        <v>80</v>
      </c>
      <c r="C40" s="73" t="str">
        <f t="shared" si="0"/>
        <v>A</v>
      </c>
      <c r="D40" s="3" t="s">
        <v>137</v>
      </c>
      <c r="E40" s="3"/>
      <c r="F40" s="3">
        <v>0</v>
      </c>
      <c r="G40" s="3">
        <v>7</v>
      </c>
      <c r="H40" s="3"/>
      <c r="I40" s="3" t="s">
        <v>93</v>
      </c>
      <c r="J40" s="3"/>
      <c r="K40" s="3" t="s">
        <v>581</v>
      </c>
      <c r="L40" s="3"/>
      <c r="M40" s="3"/>
      <c r="N40" s="3"/>
      <c r="O40" s="3"/>
      <c r="P40" s="3"/>
      <c r="Q40" s="3"/>
      <c r="R40" s="3"/>
      <c r="S40" s="3"/>
      <c r="T40" s="3"/>
    </row>
    <row r="41" spans="1:20" x14ac:dyDescent="0.25">
      <c r="A41" s="43" t="s">
        <v>568</v>
      </c>
      <c r="B41" s="3">
        <v>80</v>
      </c>
      <c r="C41" s="73" t="str">
        <f t="shared" si="0"/>
        <v>B</v>
      </c>
      <c r="D41" s="3"/>
      <c r="E41" s="3"/>
      <c r="F41" s="3"/>
      <c r="G41" s="3"/>
      <c r="H41" s="3"/>
      <c r="I41" s="3"/>
      <c r="J41" s="3" t="s">
        <v>479</v>
      </c>
      <c r="L41" s="3"/>
      <c r="M41" s="3"/>
      <c r="N41" s="3"/>
      <c r="O41" s="3"/>
      <c r="P41" s="3"/>
      <c r="Q41" s="3"/>
      <c r="R41" s="3"/>
      <c r="S41" s="3"/>
      <c r="T41" s="3"/>
    </row>
    <row r="42" spans="1:20" x14ac:dyDescent="0.25">
      <c r="A42" s="43" t="s">
        <v>531</v>
      </c>
      <c r="B42" s="3">
        <v>80</v>
      </c>
      <c r="C42" s="73" t="str">
        <f t="shared" si="0"/>
        <v>C</v>
      </c>
      <c r="D42" s="3"/>
      <c r="E42" s="3"/>
      <c r="F42" s="3"/>
      <c r="G42" s="3"/>
      <c r="H42" s="3"/>
      <c r="I42" s="3"/>
      <c r="J42" s="3" t="s">
        <v>479</v>
      </c>
      <c r="L42" s="3"/>
      <c r="M42" s="3"/>
      <c r="N42" s="3"/>
      <c r="O42" s="3"/>
      <c r="P42" s="3"/>
      <c r="Q42" s="3"/>
      <c r="R42" s="3"/>
      <c r="S42" s="3"/>
      <c r="T42" s="3"/>
    </row>
    <row r="43" spans="1:20" x14ac:dyDescent="0.25">
      <c r="A43" s="43" t="s">
        <v>532</v>
      </c>
      <c r="B43" s="3">
        <v>80</v>
      </c>
      <c r="C43" s="73" t="str">
        <f t="shared" si="0"/>
        <v>D</v>
      </c>
      <c r="D43" s="3"/>
      <c r="E43" s="3"/>
      <c r="F43" s="3"/>
      <c r="G43" s="3"/>
      <c r="H43" s="3"/>
      <c r="I43" s="3"/>
      <c r="J43" s="3" t="s">
        <v>479</v>
      </c>
      <c r="L43" s="3"/>
      <c r="M43" s="3"/>
      <c r="N43" s="3"/>
      <c r="O43" s="3"/>
      <c r="P43" s="3"/>
      <c r="Q43" s="3"/>
      <c r="R43" s="3"/>
      <c r="S43" s="3"/>
      <c r="T43" s="3"/>
    </row>
    <row r="44" spans="1:20" x14ac:dyDescent="0.25">
      <c r="A44" s="43" t="s">
        <v>533</v>
      </c>
      <c r="B44" s="3">
        <v>80</v>
      </c>
      <c r="C44" s="73" t="str">
        <f t="shared" si="0"/>
        <v>E</v>
      </c>
      <c r="D44" s="3"/>
      <c r="E44" s="3"/>
      <c r="F44" s="3"/>
      <c r="G44" s="3"/>
      <c r="H44" s="3"/>
      <c r="I44" s="3"/>
      <c r="J44" s="3" t="s">
        <v>479</v>
      </c>
      <c r="L44" s="3"/>
      <c r="M44" s="3"/>
      <c r="N44" s="3"/>
      <c r="O44" s="3"/>
      <c r="P44" s="3"/>
      <c r="Q44" s="3"/>
      <c r="R44" s="3"/>
      <c r="S44" s="3"/>
      <c r="T44" s="3"/>
    </row>
    <row r="45" spans="1:20" x14ac:dyDescent="0.25">
      <c r="A45" s="43" t="s">
        <v>534</v>
      </c>
      <c r="B45" s="3">
        <v>80</v>
      </c>
      <c r="C45" s="73" t="str">
        <f t="shared" si="0"/>
        <v>F</v>
      </c>
      <c r="D45" s="3"/>
      <c r="E45" s="3"/>
      <c r="F45" s="3"/>
      <c r="G45" s="3"/>
      <c r="H45" s="3"/>
      <c r="I45" s="3"/>
      <c r="J45" s="3" t="s">
        <v>479</v>
      </c>
      <c r="L45" s="3"/>
      <c r="M45" s="3"/>
      <c r="N45" s="3"/>
      <c r="O45" s="3"/>
      <c r="P45" s="3"/>
      <c r="Q45" s="3"/>
      <c r="R45" s="3"/>
      <c r="S45" s="3"/>
      <c r="T45" s="3"/>
    </row>
    <row r="46" spans="1:20" x14ac:dyDescent="0.25">
      <c r="A46" s="43" t="s">
        <v>535</v>
      </c>
      <c r="B46" s="3">
        <v>80</v>
      </c>
      <c r="C46" s="73" t="str">
        <f t="shared" si="0"/>
        <v>10</v>
      </c>
      <c r="D46" s="3"/>
      <c r="E46" s="3"/>
      <c r="F46" s="3"/>
      <c r="G46" s="3"/>
      <c r="H46" s="3"/>
      <c r="I46" s="3"/>
      <c r="J46" s="3" t="s">
        <v>479</v>
      </c>
      <c r="L46" s="3"/>
      <c r="M46" s="3"/>
      <c r="N46" s="3"/>
      <c r="O46" s="3"/>
      <c r="P46" s="3"/>
      <c r="Q46" s="3"/>
      <c r="R46" s="3"/>
      <c r="S46" s="3"/>
      <c r="T46" s="3"/>
    </row>
    <row r="47" spans="1:20" x14ac:dyDescent="0.25">
      <c r="A47" s="43" t="s">
        <v>536</v>
      </c>
      <c r="B47" s="3">
        <v>80</v>
      </c>
      <c r="C47" s="73" t="str">
        <f t="shared" si="0"/>
        <v>11</v>
      </c>
      <c r="D47" s="3"/>
      <c r="E47" s="3"/>
      <c r="F47" s="3"/>
      <c r="G47" s="3"/>
      <c r="H47" s="3"/>
      <c r="I47" s="3"/>
      <c r="J47" s="3" t="s">
        <v>479</v>
      </c>
      <c r="L47" s="3"/>
      <c r="M47" s="3"/>
      <c r="N47" s="3"/>
      <c r="O47" s="3"/>
      <c r="P47" s="3"/>
      <c r="Q47" s="3"/>
      <c r="R47" s="3"/>
      <c r="S47" s="3"/>
      <c r="T47" s="3"/>
    </row>
    <row r="48" spans="1:20" x14ac:dyDescent="0.25">
      <c r="A48" s="43" t="s">
        <v>537</v>
      </c>
      <c r="B48" s="3">
        <v>80</v>
      </c>
      <c r="C48" s="73" t="str">
        <f t="shared" si="0"/>
        <v>12</v>
      </c>
      <c r="D48" s="3"/>
      <c r="E48" s="3"/>
      <c r="F48" s="3"/>
      <c r="G48" s="3"/>
      <c r="H48" s="3"/>
      <c r="I48" s="3"/>
      <c r="J48" s="3" t="s">
        <v>479</v>
      </c>
      <c r="L48" s="3"/>
      <c r="M48" s="3"/>
      <c r="N48" s="3"/>
      <c r="O48" s="3"/>
      <c r="P48" s="3"/>
      <c r="Q48" s="3"/>
      <c r="R48" s="3"/>
      <c r="S48" s="3"/>
      <c r="T48" s="3"/>
    </row>
    <row r="49" spans="1:20" x14ac:dyDescent="0.25">
      <c r="A49" s="43" t="s">
        <v>538</v>
      </c>
      <c r="B49" s="3">
        <v>80</v>
      </c>
      <c r="C49" s="73" t="str">
        <f t="shared" si="0"/>
        <v>13</v>
      </c>
      <c r="D49" s="3"/>
      <c r="E49" s="3"/>
      <c r="F49" s="3"/>
      <c r="G49" s="3"/>
      <c r="H49" s="3"/>
      <c r="I49" s="3"/>
      <c r="J49" s="3" t="s">
        <v>479</v>
      </c>
      <c r="L49" s="3"/>
      <c r="M49" s="3"/>
      <c r="N49" s="3"/>
      <c r="O49" s="3"/>
      <c r="P49" s="3"/>
      <c r="Q49" s="3"/>
      <c r="R49" s="3"/>
      <c r="S49" s="3"/>
      <c r="T49" s="3"/>
    </row>
    <row r="50" spans="1:20" x14ac:dyDescent="0.25">
      <c r="A50" s="43" t="s">
        <v>539</v>
      </c>
      <c r="B50" s="3">
        <v>80</v>
      </c>
      <c r="C50" s="73" t="str">
        <f t="shared" si="0"/>
        <v>14</v>
      </c>
      <c r="D50" s="3"/>
      <c r="E50" s="3"/>
      <c r="F50" s="3"/>
      <c r="G50" s="3"/>
      <c r="H50" s="3"/>
      <c r="I50" s="3"/>
      <c r="J50" s="3" t="s">
        <v>479</v>
      </c>
      <c r="L50" s="3"/>
      <c r="M50" s="3"/>
      <c r="N50" s="3"/>
      <c r="O50" s="3"/>
      <c r="P50" s="3"/>
      <c r="Q50" s="3"/>
      <c r="R50" s="3"/>
      <c r="S50" s="3"/>
      <c r="T50" s="3"/>
    </row>
    <row r="51" spans="1:20" x14ac:dyDescent="0.25">
      <c r="A51" s="43" t="s">
        <v>540</v>
      </c>
      <c r="B51" s="3">
        <v>80</v>
      </c>
      <c r="C51" s="73" t="str">
        <f t="shared" si="0"/>
        <v>15</v>
      </c>
      <c r="D51" s="3"/>
      <c r="E51" s="3"/>
      <c r="F51" s="3"/>
      <c r="G51" s="3"/>
      <c r="H51" s="3"/>
      <c r="I51" s="3"/>
      <c r="J51" s="3" t="s">
        <v>479</v>
      </c>
      <c r="L51" s="3"/>
      <c r="M51" s="3"/>
      <c r="N51" s="3"/>
      <c r="O51" s="3"/>
      <c r="P51" s="3"/>
      <c r="Q51" s="3"/>
      <c r="R51" s="3"/>
      <c r="S51" s="3"/>
      <c r="T51" s="3"/>
    </row>
    <row r="52" spans="1:20" x14ac:dyDescent="0.25">
      <c r="A52" s="43" t="s">
        <v>343</v>
      </c>
      <c r="B52" s="3">
        <v>80</v>
      </c>
      <c r="C52" s="73" t="str">
        <f t="shared" si="0"/>
        <v>16</v>
      </c>
      <c r="D52" s="3" t="s">
        <v>140</v>
      </c>
      <c r="E52" s="3"/>
      <c r="F52" s="3">
        <v>0</v>
      </c>
      <c r="G52" s="3">
        <v>1</v>
      </c>
      <c r="H52" s="3"/>
      <c r="I52" s="3" t="s">
        <v>87</v>
      </c>
      <c r="J52" s="3"/>
      <c r="K52" s="3" t="s">
        <v>641</v>
      </c>
      <c r="L52" s="3"/>
      <c r="M52" s="3"/>
      <c r="N52" s="3"/>
      <c r="O52" s="3"/>
      <c r="P52" s="3"/>
      <c r="Q52" s="3"/>
      <c r="R52" s="3"/>
      <c r="S52" s="3"/>
      <c r="T52" s="3"/>
    </row>
    <row r="53" spans="1:20" x14ac:dyDescent="0.25">
      <c r="A53" s="43" t="s">
        <v>375</v>
      </c>
      <c r="B53" s="3">
        <v>80</v>
      </c>
      <c r="C53" s="73" t="str">
        <f t="shared" si="0"/>
        <v>17</v>
      </c>
      <c r="D53" s="3"/>
      <c r="E53" s="3"/>
      <c r="F53" s="3"/>
      <c r="G53" s="3"/>
      <c r="H53" s="3"/>
      <c r="I53" s="3"/>
      <c r="J53" s="3" t="s">
        <v>479</v>
      </c>
      <c r="L53" s="3"/>
      <c r="M53" s="3"/>
      <c r="N53" s="3"/>
      <c r="O53" s="3"/>
      <c r="P53" s="3"/>
      <c r="Q53" s="3"/>
      <c r="R53" s="3"/>
      <c r="S53" s="3"/>
      <c r="T53" s="3"/>
    </row>
    <row r="54" spans="1:20" x14ac:dyDescent="0.25">
      <c r="A54" s="43" t="s">
        <v>376</v>
      </c>
      <c r="B54" s="3">
        <v>80</v>
      </c>
      <c r="C54" s="73" t="str">
        <f t="shared" si="0"/>
        <v>18</v>
      </c>
      <c r="D54" s="3"/>
      <c r="E54" s="3"/>
      <c r="F54" s="3"/>
      <c r="G54" s="3"/>
      <c r="H54" s="3"/>
      <c r="I54" s="3"/>
      <c r="J54" s="3" t="s">
        <v>479</v>
      </c>
      <c r="L54" s="3"/>
      <c r="M54" s="3"/>
      <c r="N54" s="3"/>
      <c r="O54" s="3"/>
      <c r="P54" s="3"/>
      <c r="Q54" s="3"/>
      <c r="R54" s="3"/>
      <c r="S54" s="3"/>
      <c r="T54" s="3"/>
    </row>
    <row r="55" spans="1:20" x14ac:dyDescent="0.25">
      <c r="A55" s="43" t="s">
        <v>377</v>
      </c>
      <c r="B55" s="3">
        <v>80</v>
      </c>
      <c r="C55" s="73" t="str">
        <f t="shared" si="0"/>
        <v>19</v>
      </c>
      <c r="D55" s="3"/>
      <c r="E55" s="3"/>
      <c r="F55" s="3"/>
      <c r="G55" s="3"/>
      <c r="H55" s="3"/>
      <c r="I55" s="3"/>
      <c r="J55" s="3" t="s">
        <v>479</v>
      </c>
      <c r="L55" s="3"/>
      <c r="M55" s="3"/>
      <c r="N55" s="3"/>
      <c r="O55" s="3"/>
      <c r="P55" s="3"/>
      <c r="Q55" s="3"/>
      <c r="R55" s="3"/>
      <c r="S55" s="3"/>
      <c r="T55" s="3"/>
    </row>
    <row r="56" spans="1:20" x14ac:dyDescent="0.25">
      <c r="A56" s="43" t="s">
        <v>378</v>
      </c>
      <c r="B56" s="3">
        <v>80</v>
      </c>
      <c r="C56" s="73" t="str">
        <f t="shared" si="0"/>
        <v>1A</v>
      </c>
      <c r="D56" s="3"/>
      <c r="E56" s="3"/>
      <c r="F56" s="3"/>
      <c r="G56" s="3"/>
      <c r="H56" s="3"/>
      <c r="I56" s="3"/>
      <c r="J56" s="3" t="s">
        <v>479</v>
      </c>
      <c r="L56" s="3"/>
      <c r="M56" s="3"/>
      <c r="N56" s="3"/>
      <c r="O56" s="3"/>
      <c r="P56" s="3"/>
      <c r="Q56" s="3"/>
      <c r="R56" s="3"/>
      <c r="S56" s="3"/>
      <c r="T56" s="3"/>
    </row>
    <row r="57" spans="1:20" x14ac:dyDescent="0.25">
      <c r="A57" s="43" t="s">
        <v>343</v>
      </c>
      <c r="B57" s="3">
        <v>80</v>
      </c>
      <c r="C57" s="73" t="str">
        <f t="shared" si="0"/>
        <v>1B</v>
      </c>
      <c r="D57" s="3"/>
      <c r="E57" s="3"/>
      <c r="F57" s="3"/>
      <c r="G57" s="3"/>
      <c r="H57" s="3"/>
      <c r="I57" s="3"/>
      <c r="J57" s="3"/>
      <c r="L57" s="3"/>
      <c r="M57" s="3"/>
    </row>
    <row r="58" spans="1:20" x14ac:dyDescent="0.25">
      <c r="A58" s="43" t="s">
        <v>642</v>
      </c>
      <c r="B58" s="3">
        <v>80</v>
      </c>
      <c r="C58" s="73" t="str">
        <f t="shared" si="0"/>
        <v>1C</v>
      </c>
      <c r="D58" s="3" t="s">
        <v>240</v>
      </c>
      <c r="E58" s="3"/>
      <c r="F58" s="3">
        <v>0</v>
      </c>
      <c r="G58" s="3">
        <v>32767</v>
      </c>
      <c r="H58" s="3" t="s">
        <v>633</v>
      </c>
      <c r="I58" s="3" t="s">
        <v>93</v>
      </c>
      <c r="J58" s="3"/>
      <c r="L58" s="3"/>
      <c r="M58" s="3"/>
      <c r="N58" s="3"/>
      <c r="O58" s="3"/>
      <c r="P58" s="3"/>
      <c r="Q58" s="3"/>
      <c r="R58" s="3"/>
      <c r="S58" s="3"/>
      <c r="T58" s="3"/>
    </row>
    <row r="59" spans="1:20" x14ac:dyDescent="0.25">
      <c r="A59" s="43" t="s">
        <v>643</v>
      </c>
      <c r="B59" s="3">
        <v>80</v>
      </c>
      <c r="C59" s="73" t="str">
        <f t="shared" si="0"/>
        <v>1D</v>
      </c>
      <c r="D59" s="3" t="s">
        <v>240</v>
      </c>
      <c r="E59" s="3"/>
      <c r="F59" s="3">
        <v>0</v>
      </c>
      <c r="G59" s="3">
        <v>32767</v>
      </c>
      <c r="H59" s="3" t="s">
        <v>633</v>
      </c>
      <c r="I59" s="3" t="s">
        <v>93</v>
      </c>
      <c r="J59" s="3"/>
      <c r="L59" s="3"/>
      <c r="M59" s="3"/>
      <c r="N59" s="3"/>
      <c r="O59" s="3"/>
      <c r="P59" s="3"/>
      <c r="Q59" s="3"/>
      <c r="R59" s="3"/>
      <c r="S59" s="3"/>
      <c r="T59" s="3"/>
    </row>
    <row r="60" spans="1:20" x14ac:dyDescent="0.25">
      <c r="A60" s="44" t="s">
        <v>645</v>
      </c>
      <c r="B60" s="3">
        <v>80</v>
      </c>
      <c r="C60" s="73" t="str">
        <f t="shared" si="0"/>
        <v>1E</v>
      </c>
      <c r="D60" s="3" t="s">
        <v>225</v>
      </c>
      <c r="E60" s="3"/>
      <c r="F60" s="3" t="s">
        <v>646</v>
      </c>
      <c r="G60" s="3" t="s">
        <v>647</v>
      </c>
      <c r="H60" s="3" t="s">
        <v>648</v>
      </c>
      <c r="I60" s="3" t="s">
        <v>87</v>
      </c>
      <c r="J60" s="3"/>
      <c r="K60" s="3" t="s">
        <v>649</v>
      </c>
      <c r="L60" s="3"/>
      <c r="M60" s="3"/>
      <c r="N60" s="3"/>
      <c r="O60" s="3"/>
      <c r="P60" s="3"/>
      <c r="Q60" s="3"/>
      <c r="R60" s="3"/>
      <c r="S60" s="3"/>
      <c r="T60" s="3"/>
    </row>
    <row r="61" spans="1:20" x14ac:dyDescent="0.25">
      <c r="A61" s="44" t="s">
        <v>659</v>
      </c>
      <c r="B61" s="3">
        <v>80</v>
      </c>
      <c r="C61" s="73" t="str">
        <f t="shared" si="0"/>
        <v>1F</v>
      </c>
      <c r="D61" s="3" t="s">
        <v>225</v>
      </c>
      <c r="E61" s="3"/>
      <c r="F61" s="3" t="s">
        <v>646</v>
      </c>
      <c r="G61" s="3" t="s">
        <v>647</v>
      </c>
      <c r="H61" s="3" t="s">
        <v>648</v>
      </c>
      <c r="I61" s="3" t="s">
        <v>87</v>
      </c>
      <c r="J61" s="3"/>
      <c r="K61" s="3" t="s">
        <v>650</v>
      </c>
      <c r="L61" s="3"/>
      <c r="M61" s="3"/>
      <c r="N61" s="3"/>
      <c r="O61" s="3"/>
      <c r="P61" s="3"/>
      <c r="Q61" s="3"/>
      <c r="R61" s="3"/>
      <c r="S61" s="3"/>
      <c r="T61" s="3"/>
    </row>
    <row r="62" spans="1:20" x14ac:dyDescent="0.25">
      <c r="A62" s="43" t="s">
        <v>343</v>
      </c>
      <c r="B62" s="3">
        <v>80</v>
      </c>
      <c r="C62" s="73" t="str">
        <f t="shared" si="0"/>
        <v>20</v>
      </c>
      <c r="D62" s="3"/>
      <c r="E62" s="3"/>
      <c r="F62" s="3"/>
      <c r="G62" s="3"/>
      <c r="H62" s="3"/>
      <c r="I62" s="3"/>
      <c r="J62" s="3"/>
      <c r="L62" s="3"/>
    </row>
    <row r="63" spans="1:20" x14ac:dyDescent="0.25">
      <c r="A63" s="86" t="s">
        <v>667</v>
      </c>
      <c r="B63" s="3">
        <v>80</v>
      </c>
      <c r="C63" s="73" t="str">
        <f t="shared" si="0"/>
        <v>21</v>
      </c>
      <c r="D63" s="3" t="s">
        <v>140</v>
      </c>
      <c r="E63" s="3"/>
      <c r="F63" s="3">
        <v>0</v>
      </c>
      <c r="G63" s="3">
        <v>1</v>
      </c>
      <c r="H63" s="3"/>
      <c r="I63" s="3" t="s">
        <v>87</v>
      </c>
      <c r="J63" s="3"/>
      <c r="K63" s="8" t="s">
        <v>673</v>
      </c>
    </row>
    <row r="64" spans="1:20" x14ac:dyDescent="0.25">
      <c r="A64" s="43" t="s">
        <v>668</v>
      </c>
      <c r="B64" s="3">
        <v>80</v>
      </c>
      <c r="C64" s="73" t="str">
        <f t="shared" si="0"/>
        <v>22</v>
      </c>
      <c r="D64" s="3" t="s">
        <v>240</v>
      </c>
      <c r="E64" s="3"/>
      <c r="F64" s="3">
        <v>20</v>
      </c>
      <c r="G64" s="3">
        <v>600</v>
      </c>
      <c r="H64" s="3" t="s">
        <v>671</v>
      </c>
      <c r="I64" s="3" t="s">
        <v>87</v>
      </c>
      <c r="J64" s="3"/>
      <c r="K64" s="8"/>
    </row>
    <row r="65" spans="1:11" x14ac:dyDescent="0.25">
      <c r="A65" s="43" t="s">
        <v>784</v>
      </c>
      <c r="B65" s="3">
        <v>80</v>
      </c>
      <c r="C65" s="73" t="str">
        <f t="shared" si="0"/>
        <v>23</v>
      </c>
      <c r="D65" s="3" t="s">
        <v>140</v>
      </c>
      <c r="E65" s="3"/>
      <c r="F65" s="3">
        <v>0</v>
      </c>
      <c r="G65" s="3">
        <v>1</v>
      </c>
      <c r="H65" s="3"/>
      <c r="I65" s="3" t="s">
        <v>93</v>
      </c>
      <c r="J65" s="3"/>
      <c r="K65" s="1"/>
    </row>
    <row r="66" spans="1:11" x14ac:dyDescent="0.25">
      <c r="A66" s="43" t="s">
        <v>785</v>
      </c>
      <c r="B66" s="3">
        <v>80</v>
      </c>
      <c r="C66" s="73" t="str">
        <f t="shared" si="0"/>
        <v>24</v>
      </c>
      <c r="D66" s="3" t="s">
        <v>140</v>
      </c>
      <c r="E66" s="3"/>
      <c r="F66" s="3">
        <v>0</v>
      </c>
      <c r="G66" s="3">
        <v>1</v>
      </c>
      <c r="H66" s="3"/>
      <c r="I66" s="3" t="s">
        <v>93</v>
      </c>
    </row>
    <row r="67" spans="1:11" x14ac:dyDescent="0.25">
      <c r="A67" s="43" t="s">
        <v>787</v>
      </c>
      <c r="B67" s="3">
        <v>80</v>
      </c>
      <c r="C67" s="73" t="str">
        <f t="shared" si="0"/>
        <v>25</v>
      </c>
      <c r="D67" s="3" t="s">
        <v>140</v>
      </c>
      <c r="E67" s="3"/>
      <c r="F67" s="3">
        <v>0</v>
      </c>
      <c r="G67" s="3">
        <v>1</v>
      </c>
      <c r="H67" s="3"/>
      <c r="I67" s="3" t="s">
        <v>93</v>
      </c>
    </row>
    <row r="68" spans="1:11" x14ac:dyDescent="0.25">
      <c r="A68" s="43" t="s">
        <v>786</v>
      </c>
      <c r="B68" s="3">
        <v>80</v>
      </c>
      <c r="C68" s="73" t="str">
        <f t="shared" si="0"/>
        <v>26</v>
      </c>
      <c r="D68" s="3" t="s">
        <v>140</v>
      </c>
      <c r="E68" s="3"/>
      <c r="F68" s="3">
        <v>0</v>
      </c>
      <c r="G68" s="3">
        <v>1</v>
      </c>
      <c r="H68" s="3"/>
      <c r="I68" s="3" t="s">
        <v>93</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3"/>
  <sheetViews>
    <sheetView zoomScale="80" zoomScaleNormal="80" workbookViewId="0">
      <pane ySplit="1" topLeftCell="A2" activePane="bottomLeft" state="frozen"/>
      <selection pane="bottomLeft" activeCell="D28" sqref="D28"/>
    </sheetView>
  </sheetViews>
  <sheetFormatPr defaultColWidth="9.28515625" defaultRowHeight="15" x14ac:dyDescent="0.25"/>
  <cols>
    <col min="1" max="1" width="36.28515625" style="1" bestFit="1" customWidth="1"/>
    <col min="2" max="3" width="30.7109375" style="1" customWidth="1"/>
    <col min="4" max="5" width="30.7109375" style="26" customWidth="1"/>
    <col min="6" max="1024" width="9.28515625" style="1"/>
  </cols>
  <sheetData>
    <row r="1" spans="1:5" s="29" customFormat="1" x14ac:dyDescent="0.25">
      <c r="A1" s="27" t="s">
        <v>269</v>
      </c>
      <c r="B1" s="27" t="s">
        <v>270</v>
      </c>
      <c r="C1" s="27" t="s">
        <v>271</v>
      </c>
      <c r="D1" s="28" t="s">
        <v>272</v>
      </c>
      <c r="E1" s="28" t="s">
        <v>273</v>
      </c>
    </row>
    <row r="2" spans="1:5" x14ac:dyDescent="0.25">
      <c r="A2" s="1" t="s">
        <v>274</v>
      </c>
      <c r="B2" s="1" t="s">
        <v>275</v>
      </c>
      <c r="C2" s="1" t="s">
        <v>276</v>
      </c>
      <c r="D2" s="26">
        <v>1</v>
      </c>
      <c r="E2" s="26">
        <v>1</v>
      </c>
    </row>
    <row r="3" spans="1:5" x14ac:dyDescent="0.25">
      <c r="A3" s="1" t="s">
        <v>277</v>
      </c>
      <c r="B3" s="1" t="s">
        <v>278</v>
      </c>
      <c r="C3" s="1" t="s">
        <v>276</v>
      </c>
      <c r="D3" s="26">
        <v>1</v>
      </c>
      <c r="E3" s="26">
        <v>2</v>
      </c>
    </row>
    <row r="4" spans="1:5" x14ac:dyDescent="0.25">
      <c r="A4" s="1" t="s">
        <v>279</v>
      </c>
      <c r="B4" s="1" t="s">
        <v>280</v>
      </c>
      <c r="C4" s="1" t="s">
        <v>281</v>
      </c>
      <c r="D4" s="26">
        <v>2</v>
      </c>
      <c r="E4" s="26">
        <v>3</v>
      </c>
    </row>
    <row r="5" spans="1:5" x14ac:dyDescent="0.25">
      <c r="A5" s="1" t="s">
        <v>943</v>
      </c>
      <c r="B5" s="1" t="s">
        <v>282</v>
      </c>
      <c r="C5" s="1" t="s">
        <v>281</v>
      </c>
      <c r="D5" s="26">
        <v>2</v>
      </c>
      <c r="E5" s="26">
        <v>4</v>
      </c>
    </row>
    <row r="6" spans="1:5" x14ac:dyDescent="0.25">
      <c r="A6" s="1" t="s">
        <v>283</v>
      </c>
      <c r="B6" s="1" t="s">
        <v>284</v>
      </c>
      <c r="C6" s="1" t="s">
        <v>285</v>
      </c>
      <c r="D6" s="26">
        <v>3</v>
      </c>
      <c r="E6" s="26">
        <v>5</v>
      </c>
    </row>
    <row r="7" spans="1:5" x14ac:dyDescent="0.25">
      <c r="A7" s="1" t="s">
        <v>286</v>
      </c>
      <c r="B7" s="1" t="s">
        <v>287</v>
      </c>
      <c r="D7" s="26">
        <v>4</v>
      </c>
      <c r="E7" s="26">
        <v>6</v>
      </c>
    </row>
    <row r="8" spans="1:5" x14ac:dyDescent="0.25">
      <c r="A8" s="1" t="s">
        <v>309</v>
      </c>
      <c r="D8" s="26">
        <v>5</v>
      </c>
      <c r="E8" s="26">
        <v>7</v>
      </c>
    </row>
    <row r="9" spans="1:5" x14ac:dyDescent="0.25">
      <c r="A9" s="1" t="s">
        <v>310</v>
      </c>
      <c r="D9" s="26">
        <v>5</v>
      </c>
      <c r="E9" s="26">
        <v>8</v>
      </c>
    </row>
    <row r="10" spans="1:5" x14ac:dyDescent="0.25">
      <c r="A10" s="1" t="s">
        <v>345</v>
      </c>
      <c r="D10" s="26">
        <v>5</v>
      </c>
      <c r="E10" s="26">
        <v>9</v>
      </c>
    </row>
    <row r="11" spans="1:5" x14ac:dyDescent="0.25">
      <c r="A11" s="1" t="s">
        <v>424</v>
      </c>
      <c r="B11" s="1" t="s">
        <v>426</v>
      </c>
      <c r="D11" s="26">
        <v>6</v>
      </c>
      <c r="E11" s="26">
        <v>10</v>
      </c>
    </row>
    <row r="12" spans="1:5" x14ac:dyDescent="0.25">
      <c r="A12" s="1" t="s">
        <v>713</v>
      </c>
      <c r="C12" s="1" t="s">
        <v>425</v>
      </c>
      <c r="D12" s="26">
        <v>7</v>
      </c>
      <c r="E12" s="26">
        <v>11</v>
      </c>
    </row>
    <row r="13" spans="1:5" x14ac:dyDescent="0.25">
      <c r="A13" s="1" t="s">
        <v>714</v>
      </c>
      <c r="D13" s="26">
        <v>7</v>
      </c>
      <c r="E13" s="26">
        <v>12</v>
      </c>
    </row>
    <row r="14" spans="1:5" x14ac:dyDescent="0.25">
      <c r="A14" s="1" t="s">
        <v>715</v>
      </c>
      <c r="D14" s="26">
        <v>7</v>
      </c>
      <c r="E14" s="26">
        <v>13</v>
      </c>
    </row>
    <row r="15" spans="1:5" x14ac:dyDescent="0.25">
      <c r="A15" s="1" t="s">
        <v>712</v>
      </c>
      <c r="D15" s="26">
        <v>8</v>
      </c>
      <c r="E15" s="26">
        <v>14</v>
      </c>
    </row>
    <row r="16" spans="1:5" x14ac:dyDescent="0.25">
      <c r="A16" s="1" t="s">
        <v>944</v>
      </c>
      <c r="E16" s="26">
        <v>15</v>
      </c>
    </row>
    <row r="17" spans="1:1024" x14ac:dyDescent="0.25">
      <c r="A17" s="1" t="s">
        <v>777</v>
      </c>
      <c r="B17" s="1" t="s">
        <v>779</v>
      </c>
      <c r="C17" s="1" t="s">
        <v>778</v>
      </c>
      <c r="D17" s="26">
        <v>9</v>
      </c>
      <c r="E17" s="26">
        <v>16</v>
      </c>
    </row>
    <row r="18" spans="1:1024" x14ac:dyDescent="0.25">
      <c r="A18" s="1" t="s">
        <v>942</v>
      </c>
      <c r="D18" s="26">
        <v>10</v>
      </c>
      <c r="E18" s="26">
        <v>17</v>
      </c>
    </row>
    <row r="19" spans="1:1024" x14ac:dyDescent="0.25">
      <c r="A19" s="1" t="s">
        <v>1029</v>
      </c>
      <c r="D19" s="26">
        <v>11</v>
      </c>
      <c r="E19" s="26">
        <f>E18+1</f>
        <v>18</v>
      </c>
    </row>
    <row r="20" spans="1:1024" x14ac:dyDescent="0.25">
      <c r="A20" s="1" t="s">
        <v>1030</v>
      </c>
      <c r="D20" s="26">
        <v>11</v>
      </c>
      <c r="E20" s="26">
        <v>20</v>
      </c>
      <c r="AMJ20"/>
    </row>
    <row r="21" spans="1:1024" x14ac:dyDescent="0.25">
      <c r="E21" s="1"/>
      <c r="AMJ21"/>
    </row>
    <row r="22" spans="1:1024" x14ac:dyDescent="0.25">
      <c r="E22" s="1"/>
      <c r="AMJ22"/>
    </row>
    <row r="23" spans="1:1024" x14ac:dyDescent="0.25">
      <c r="E23" s="1"/>
      <c r="AMJ23"/>
    </row>
    <row r="24" spans="1:1024" x14ac:dyDescent="0.25">
      <c r="E24" s="1"/>
      <c r="AMJ24"/>
    </row>
    <row r="25" spans="1:1024" x14ac:dyDescent="0.25">
      <c r="E25" s="1"/>
      <c r="AMJ25"/>
    </row>
    <row r="26" spans="1:1024" x14ac:dyDescent="0.25">
      <c r="E26" s="1"/>
      <c r="AMJ26"/>
    </row>
    <row r="27" spans="1:1024" x14ac:dyDescent="0.25">
      <c r="E27" s="1"/>
      <c r="AMJ27"/>
    </row>
    <row r="28" spans="1:1024" x14ac:dyDescent="0.25">
      <c r="E28" s="1"/>
      <c r="AMJ28"/>
    </row>
    <row r="29" spans="1:1024" x14ac:dyDescent="0.25">
      <c r="E29" s="1"/>
      <c r="AMJ29"/>
    </row>
    <row r="30" spans="1:1024" x14ac:dyDescent="0.25">
      <c r="E30" s="1"/>
      <c r="AMJ30"/>
    </row>
    <row r="31" spans="1:1024" x14ac:dyDescent="0.25">
      <c r="E31" s="1"/>
      <c r="AMJ31"/>
    </row>
    <row r="32" spans="1:1024" x14ac:dyDescent="0.25">
      <c r="E32" s="1"/>
      <c r="AMJ32"/>
    </row>
    <row r="33" spans="5:1024" x14ac:dyDescent="0.25">
      <c r="E33" s="1"/>
      <c r="AMJ33"/>
    </row>
  </sheetData>
  <autoFilter ref="A1:E1" xr:uid="{00000000-0009-0000-0000-000007000000}"/>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4"/>
  <sheetViews>
    <sheetView zoomScale="80" zoomScaleNormal="80" workbookViewId="0">
      <selection activeCell="C36" sqref="C36:G36"/>
    </sheetView>
  </sheetViews>
  <sheetFormatPr defaultColWidth="8.5703125" defaultRowHeight="15" x14ac:dyDescent="0.25"/>
  <cols>
    <col min="1" max="1" width="22.42578125" bestFit="1" customWidth="1"/>
    <col min="2" max="2" width="14.28515625" bestFit="1" customWidth="1"/>
    <col min="3" max="3" width="15" bestFit="1" customWidth="1"/>
    <col min="4" max="4" width="9.7109375" bestFit="1" customWidth="1"/>
    <col min="5" max="5" width="17" bestFit="1" customWidth="1"/>
    <col min="6" max="6" width="17.28515625" bestFit="1" customWidth="1"/>
    <col min="7" max="7" width="21.7109375" bestFit="1" customWidth="1"/>
    <col min="8" max="8" width="59.28515625" bestFit="1" customWidth="1"/>
  </cols>
  <sheetData>
    <row r="1" spans="1:12" s="3" customFormat="1" ht="45" x14ac:dyDescent="0.25">
      <c r="A1" s="30" t="s">
        <v>288</v>
      </c>
      <c r="B1" s="30" t="s">
        <v>289</v>
      </c>
      <c r="C1" s="30" t="s">
        <v>290</v>
      </c>
      <c r="D1" s="30" t="s">
        <v>291</v>
      </c>
      <c r="E1" s="30" t="s">
        <v>292</v>
      </c>
      <c r="F1" s="30" t="s">
        <v>293</v>
      </c>
      <c r="G1" s="30" t="s">
        <v>294</v>
      </c>
      <c r="H1" s="8" t="s">
        <v>602</v>
      </c>
    </row>
    <row r="2" spans="1:12" s="3" customFormat="1" x14ac:dyDescent="0.25">
      <c r="A2" s="98" t="s">
        <v>1031</v>
      </c>
      <c r="B2" s="98"/>
      <c r="C2" s="98" t="s">
        <v>300</v>
      </c>
      <c r="D2" s="98">
        <v>0</v>
      </c>
      <c r="E2" s="98">
        <v>4</v>
      </c>
      <c r="F2" s="98">
        <v>1</v>
      </c>
      <c r="G2" s="3" t="str">
        <f>IF(OR(D2="",E2="",F2=""),"",CONCATENATE("0x",DEC2HEX(MOD(F2,64)+E2*POWER(2,6)+D2*POWER(2,16),8)))</f>
        <v>0x00000101</v>
      </c>
      <c r="H2" s="8"/>
    </row>
    <row r="3" spans="1:12" x14ac:dyDescent="0.25">
      <c r="A3" s="15" t="s">
        <v>89</v>
      </c>
      <c r="B3" s="3" t="s">
        <v>295</v>
      </c>
      <c r="C3" s="3" t="s">
        <v>296</v>
      </c>
      <c r="D3" s="3">
        <v>1</v>
      </c>
      <c r="E3" s="3">
        <v>1</v>
      </c>
      <c r="F3" s="3">
        <v>1</v>
      </c>
      <c r="G3" s="3" t="str">
        <f>IF(OR(D3="",E3="",F3=""),"",CONCATENATE("0x",DEC2HEX(MOD(F3,64)+E3*POWER(2,6)+D3*POWER(2,16),8)))</f>
        <v>0x00010041</v>
      </c>
      <c r="H3" s="3"/>
    </row>
    <row r="4" spans="1:12" x14ac:dyDescent="0.25">
      <c r="A4" s="15" t="s">
        <v>89</v>
      </c>
      <c r="B4" s="3" t="s">
        <v>278</v>
      </c>
      <c r="C4" s="3" t="s">
        <v>297</v>
      </c>
      <c r="D4" s="3">
        <v>1</v>
      </c>
      <c r="E4" s="3">
        <v>2</v>
      </c>
      <c r="F4" s="3">
        <v>1</v>
      </c>
      <c r="G4" s="3" t="str">
        <f t="shared" ref="G4:G54" si="0">IF(OR(D4="",E4="",F4=""),"",CONCATENATE("0x",DEC2HEX(MOD(F4,64)+E4*POWER(2,6)+D4*POWER(2,16),8)))</f>
        <v>0x00010081</v>
      </c>
      <c r="H4" s="3"/>
      <c r="K4" s="31"/>
      <c r="L4" t="s">
        <v>298</v>
      </c>
    </row>
    <row r="5" spans="1:12" x14ac:dyDescent="0.25">
      <c r="A5" s="3" t="s">
        <v>299</v>
      </c>
      <c r="B5" s="3" t="s">
        <v>280</v>
      </c>
      <c r="C5" s="3" t="s">
        <v>300</v>
      </c>
      <c r="D5" s="3">
        <v>2</v>
      </c>
      <c r="E5" s="3">
        <v>3</v>
      </c>
      <c r="F5" s="3">
        <v>1</v>
      </c>
      <c r="G5" s="3" t="str">
        <f t="shared" si="0"/>
        <v>0x000200C1</v>
      </c>
      <c r="H5" s="3"/>
      <c r="K5" t="s">
        <v>301</v>
      </c>
      <c r="L5" t="s">
        <v>302</v>
      </c>
    </row>
    <row r="6" spans="1:12" x14ac:dyDescent="0.25">
      <c r="A6" s="3" t="s">
        <v>303</v>
      </c>
      <c r="B6" s="3" t="s">
        <v>282</v>
      </c>
      <c r="C6" s="3" t="s">
        <v>297</v>
      </c>
      <c r="D6" s="3">
        <v>2</v>
      </c>
      <c r="E6" s="3">
        <v>4</v>
      </c>
      <c r="F6" s="3">
        <v>1</v>
      </c>
      <c r="G6" s="3" t="str">
        <f t="shared" si="0"/>
        <v>0x00020101</v>
      </c>
      <c r="H6" s="3"/>
      <c r="K6" t="s">
        <v>304</v>
      </c>
      <c r="L6" t="s">
        <v>305</v>
      </c>
    </row>
    <row r="7" spans="1:12" x14ac:dyDescent="0.25">
      <c r="A7" s="3" t="s">
        <v>222</v>
      </c>
      <c r="B7" s="3" t="s">
        <v>284</v>
      </c>
      <c r="C7" s="3" t="s">
        <v>300</v>
      </c>
      <c r="D7" s="3">
        <v>3</v>
      </c>
      <c r="E7" s="3">
        <v>5</v>
      </c>
      <c r="F7" s="3">
        <v>1</v>
      </c>
      <c r="G7" s="3" t="str">
        <f t="shared" si="0"/>
        <v>0x00030141</v>
      </c>
      <c r="H7" s="3"/>
    </row>
    <row r="8" spans="1:12" x14ac:dyDescent="0.25">
      <c r="A8" s="3" t="s">
        <v>222</v>
      </c>
      <c r="B8" s="3" t="s">
        <v>527</v>
      </c>
      <c r="C8" s="3" t="s">
        <v>748</v>
      </c>
      <c r="D8" s="3">
        <v>3</v>
      </c>
      <c r="E8" s="3">
        <v>4</v>
      </c>
      <c r="F8" s="3">
        <v>1</v>
      </c>
      <c r="G8" s="3" t="str">
        <f t="shared" si="0"/>
        <v>0x00030101</v>
      </c>
      <c r="H8" s="3" t="s">
        <v>841</v>
      </c>
    </row>
    <row r="9" spans="1:12" x14ac:dyDescent="0.25">
      <c r="A9" s="3" t="s">
        <v>222</v>
      </c>
      <c r="B9" s="3" t="s">
        <v>527</v>
      </c>
      <c r="C9" s="3" t="s">
        <v>749</v>
      </c>
      <c r="D9" s="3">
        <v>3</v>
      </c>
      <c r="E9" s="3">
        <v>4</v>
      </c>
      <c r="F9" s="3">
        <v>2</v>
      </c>
      <c r="G9" s="3" t="str">
        <f t="shared" ref="G9" si="1">IF(OR(D9="",E9="",F9=""),"",CONCATENATE("0x",DEC2HEX(MOD(F9,64)+E9*POWER(2,6)+D9*POWER(2,16),8)))</f>
        <v>0x00030102</v>
      </c>
      <c r="H9" s="3"/>
    </row>
    <row r="10" spans="1:12" x14ac:dyDescent="0.25">
      <c r="A10" s="3" t="s">
        <v>222</v>
      </c>
      <c r="B10" s="3" t="s">
        <v>527</v>
      </c>
      <c r="C10" s="3" t="s">
        <v>750</v>
      </c>
      <c r="D10" s="3">
        <v>3</v>
      </c>
      <c r="E10" s="3">
        <v>4</v>
      </c>
      <c r="F10" s="3">
        <v>3</v>
      </c>
      <c r="G10" s="3" t="str">
        <f t="shared" ref="G10" si="2">IF(OR(D10="",E10="",F10=""),"",CONCATENATE("0x",DEC2HEX(MOD(F10,64)+E10*POWER(2,6)+D10*POWER(2,16),8)))</f>
        <v>0x00030103</v>
      </c>
      <c r="H10" s="3"/>
    </row>
    <row r="11" spans="1:12" x14ac:dyDescent="0.25">
      <c r="A11" s="3" t="s">
        <v>306</v>
      </c>
      <c r="B11" s="3" t="s">
        <v>287</v>
      </c>
      <c r="C11" s="3" t="s">
        <v>296</v>
      </c>
      <c r="D11" s="3">
        <v>4</v>
      </c>
      <c r="E11" s="3">
        <v>6</v>
      </c>
      <c r="F11" s="3">
        <v>1</v>
      </c>
      <c r="G11" s="3" t="str">
        <f t="shared" si="0"/>
        <v>0x00040181</v>
      </c>
      <c r="H11" s="3"/>
    </row>
    <row r="12" spans="1:12" x14ac:dyDescent="0.25">
      <c r="A12" s="3" t="s">
        <v>719</v>
      </c>
      <c r="B12" s="3" t="s">
        <v>716</v>
      </c>
      <c r="C12" s="3" t="s">
        <v>717</v>
      </c>
      <c r="D12" s="3">
        <v>5</v>
      </c>
      <c r="E12" s="3">
        <v>7</v>
      </c>
      <c r="F12" s="3">
        <v>1</v>
      </c>
      <c r="G12" s="3" t="str">
        <f t="shared" si="0"/>
        <v>0x000501C1</v>
      </c>
      <c r="H12" s="3"/>
    </row>
    <row r="13" spans="1:12" x14ac:dyDescent="0.25">
      <c r="A13" s="3" t="s">
        <v>719</v>
      </c>
      <c r="B13" s="3" t="s">
        <v>720</v>
      </c>
      <c r="C13" s="3" t="s">
        <v>718</v>
      </c>
      <c r="D13" s="3">
        <v>5</v>
      </c>
      <c r="E13" s="3">
        <v>8</v>
      </c>
      <c r="F13" s="3">
        <v>1</v>
      </c>
      <c r="G13" s="3" t="str">
        <f t="shared" si="0"/>
        <v>0x00050201</v>
      </c>
      <c r="H13" s="3"/>
    </row>
    <row r="14" spans="1:12" x14ac:dyDescent="0.25">
      <c r="A14" s="3" t="s">
        <v>719</v>
      </c>
      <c r="B14" s="3"/>
      <c r="C14" s="3" t="s">
        <v>423</v>
      </c>
      <c r="D14" s="3">
        <v>5</v>
      </c>
      <c r="E14" s="3">
        <v>9</v>
      </c>
      <c r="F14" s="3">
        <v>1</v>
      </c>
      <c r="G14" s="3" t="str">
        <f t="shared" ref="G14" si="3">IF(OR(D14="",E14="",F14=""),"",CONCATENATE("0x",DEC2HEX(MOD(F14,64)+E14*POWER(2,6)+D14*POWER(2,16),8)))</f>
        <v>0x00050241</v>
      </c>
      <c r="H14" s="3"/>
    </row>
    <row r="15" spans="1:12" x14ac:dyDescent="0.25">
      <c r="A15" s="3" t="s">
        <v>382</v>
      </c>
      <c r="B15" s="3" t="s">
        <v>426</v>
      </c>
      <c r="C15" s="3" t="s">
        <v>732</v>
      </c>
      <c r="D15" s="3">
        <v>6</v>
      </c>
      <c r="E15" s="3">
        <v>10</v>
      </c>
      <c r="F15" s="3">
        <v>1</v>
      </c>
      <c r="G15" s="3" t="str">
        <f t="shared" si="0"/>
        <v>0x00060281</v>
      </c>
      <c r="H15" s="3"/>
    </row>
    <row r="16" spans="1:12" x14ac:dyDescent="0.25">
      <c r="A16" s="3" t="s">
        <v>422</v>
      </c>
      <c r="B16" s="3"/>
      <c r="C16" s="3" t="s">
        <v>423</v>
      </c>
      <c r="D16" s="3">
        <v>7</v>
      </c>
      <c r="E16" s="3">
        <v>11</v>
      </c>
      <c r="F16" s="3">
        <v>1</v>
      </c>
      <c r="G16" s="3" t="str">
        <f t="shared" si="0"/>
        <v>0x000702C1</v>
      </c>
      <c r="H16" s="3"/>
    </row>
    <row r="17" spans="1:8" x14ac:dyDescent="0.25">
      <c r="A17" s="3" t="s">
        <v>422</v>
      </c>
      <c r="B17" s="3"/>
      <c r="C17" s="3" t="s">
        <v>518</v>
      </c>
      <c r="D17" s="3">
        <v>7</v>
      </c>
      <c r="E17" s="3">
        <v>12</v>
      </c>
      <c r="F17" s="3">
        <v>1</v>
      </c>
      <c r="G17" s="3" t="str">
        <f t="shared" si="0"/>
        <v>0x00070301</v>
      </c>
      <c r="H17" s="3"/>
    </row>
    <row r="18" spans="1:8" x14ac:dyDescent="0.25">
      <c r="A18" s="3" t="s">
        <v>422</v>
      </c>
      <c r="B18" s="3"/>
      <c r="C18" s="3" t="s">
        <v>519</v>
      </c>
      <c r="D18" s="3">
        <v>7</v>
      </c>
      <c r="E18" s="3">
        <v>12</v>
      </c>
      <c r="F18" s="3">
        <v>2</v>
      </c>
      <c r="G18" s="3" t="str">
        <f t="shared" si="0"/>
        <v>0x00070302</v>
      </c>
      <c r="H18" s="3"/>
    </row>
    <row r="19" spans="1:8" x14ac:dyDescent="0.25">
      <c r="A19" s="3" t="s">
        <v>422</v>
      </c>
      <c r="B19" s="3"/>
      <c r="C19" s="3" t="s">
        <v>517</v>
      </c>
      <c r="D19" s="3">
        <v>7</v>
      </c>
      <c r="E19" s="3">
        <v>13</v>
      </c>
      <c r="F19" s="3">
        <v>1</v>
      </c>
      <c r="G19" s="3" t="str">
        <f t="shared" si="0"/>
        <v>0x00070341</v>
      </c>
      <c r="H19" s="3"/>
    </row>
    <row r="20" spans="1:8" x14ac:dyDescent="0.25">
      <c r="A20" s="3" t="s">
        <v>769</v>
      </c>
      <c r="B20" s="3" t="s">
        <v>284</v>
      </c>
      <c r="C20" s="3" t="s">
        <v>300</v>
      </c>
      <c r="D20" s="3">
        <v>8</v>
      </c>
      <c r="E20" s="3">
        <v>14</v>
      </c>
      <c r="F20" s="3">
        <v>1</v>
      </c>
      <c r="G20" s="3" t="str">
        <f t="shared" ref="G20:G21" si="4">IF(OR(D20="",E20="",F20=""),"",CONCATENATE("0x",DEC2HEX(MOD(F20,64)+E20*POWER(2,6)+D20*POWER(2,16),8)))</f>
        <v>0x00080381</v>
      </c>
      <c r="H20" s="3"/>
    </row>
    <row r="21" spans="1:8" x14ac:dyDescent="0.25">
      <c r="A21" s="3" t="s">
        <v>769</v>
      </c>
      <c r="B21" s="3"/>
      <c r="C21" s="3" t="s">
        <v>748</v>
      </c>
      <c r="D21" s="3">
        <v>8</v>
      </c>
      <c r="E21" s="42">
        <v>15</v>
      </c>
      <c r="F21" s="3">
        <v>1</v>
      </c>
      <c r="G21" s="3" t="str">
        <f t="shared" si="4"/>
        <v>0x000803C1</v>
      </c>
      <c r="H21" s="3"/>
    </row>
    <row r="22" spans="1:8" x14ac:dyDescent="0.25">
      <c r="A22" s="3" t="s">
        <v>769</v>
      </c>
      <c r="B22" s="3"/>
      <c r="C22" s="3" t="s">
        <v>749</v>
      </c>
      <c r="D22" s="3">
        <v>8</v>
      </c>
      <c r="E22" s="42">
        <v>15</v>
      </c>
      <c r="F22" s="3">
        <v>2</v>
      </c>
      <c r="G22" s="3" t="str">
        <f t="shared" ref="G22:G23" si="5">IF(OR(D22="",E22="",F22=""),"",CONCATENATE("0x",DEC2HEX(MOD(F22,64)+E22*POWER(2,6)+D22*POWER(2,16),8)))</f>
        <v>0x000803C2</v>
      </c>
      <c r="H22" s="3"/>
    </row>
    <row r="23" spans="1:8" x14ac:dyDescent="0.25">
      <c r="A23" s="3" t="s">
        <v>769</v>
      </c>
      <c r="B23" s="3"/>
      <c r="C23" s="3" t="s">
        <v>750</v>
      </c>
      <c r="D23" s="3">
        <v>8</v>
      </c>
      <c r="E23" s="42">
        <v>15</v>
      </c>
      <c r="F23" s="3">
        <v>3</v>
      </c>
      <c r="G23" s="3" t="str">
        <f t="shared" si="5"/>
        <v>0x000803C3</v>
      </c>
      <c r="H23" s="3"/>
    </row>
    <row r="24" spans="1:8" x14ac:dyDescent="0.25">
      <c r="A24" s="3" t="s">
        <v>769</v>
      </c>
      <c r="B24" s="3"/>
      <c r="C24" s="3" t="s">
        <v>751</v>
      </c>
      <c r="D24" s="3">
        <v>8</v>
      </c>
      <c r="E24" s="3">
        <v>4</v>
      </c>
      <c r="F24" s="3">
        <v>1</v>
      </c>
      <c r="G24" s="3" t="str">
        <f t="shared" ref="G24" si="6">IF(OR(D24="",E24="",F24=""),"",CONCATENATE("0x",DEC2HEX(MOD(F24,64)+E24*POWER(2,6)+D24*POWER(2,16),8)))</f>
        <v>0x00080101</v>
      </c>
      <c r="H24" s="3"/>
    </row>
    <row r="25" spans="1:8" x14ac:dyDescent="0.25">
      <c r="A25" s="3" t="s">
        <v>828</v>
      </c>
      <c r="B25" s="3"/>
      <c r="C25" s="3" t="s">
        <v>718</v>
      </c>
      <c r="D25" s="3">
        <v>9</v>
      </c>
      <c r="E25" s="42">
        <v>16</v>
      </c>
      <c r="F25" s="3">
        <v>1</v>
      </c>
      <c r="G25" s="3" t="str">
        <f t="shared" si="0"/>
        <v>0x00090401</v>
      </c>
      <c r="H25" s="3"/>
    </row>
    <row r="26" spans="1:8" x14ac:dyDescent="0.25">
      <c r="A26" s="3" t="s">
        <v>881</v>
      </c>
      <c r="B26" s="3"/>
      <c r="C26" s="3" t="s">
        <v>300</v>
      </c>
      <c r="D26" s="3">
        <v>10</v>
      </c>
      <c r="E26" s="3">
        <v>17</v>
      </c>
      <c r="F26" s="3">
        <v>1</v>
      </c>
      <c r="G26" s="3" t="str">
        <f t="shared" si="0"/>
        <v>0x000A0441</v>
      </c>
      <c r="H26" s="3"/>
    </row>
    <row r="27" spans="1:8" x14ac:dyDescent="0.25">
      <c r="A27" s="3" t="s">
        <v>881</v>
      </c>
      <c r="B27" s="3"/>
      <c r="C27" s="3" t="s">
        <v>748</v>
      </c>
      <c r="D27" s="3">
        <v>10</v>
      </c>
      <c r="E27" s="3">
        <v>4</v>
      </c>
      <c r="F27" s="3">
        <v>1</v>
      </c>
      <c r="G27" s="3" t="str">
        <f t="shared" si="0"/>
        <v>0x000A0101</v>
      </c>
      <c r="H27" s="3"/>
    </row>
    <row r="28" spans="1:8" x14ac:dyDescent="0.25">
      <c r="A28" s="3" t="s">
        <v>881</v>
      </c>
      <c r="B28" s="3"/>
      <c r="C28" s="3" t="s">
        <v>749</v>
      </c>
      <c r="D28" s="3">
        <v>10</v>
      </c>
      <c r="E28" s="3">
        <v>4</v>
      </c>
      <c r="F28" s="3">
        <v>2</v>
      </c>
      <c r="G28" s="3" t="str">
        <f t="shared" si="0"/>
        <v>0x000A0102</v>
      </c>
      <c r="H28" s="3"/>
    </row>
    <row r="29" spans="1:8" x14ac:dyDescent="0.25">
      <c r="A29" s="3" t="s">
        <v>881</v>
      </c>
      <c r="B29" s="3"/>
      <c r="C29" s="3" t="s">
        <v>750</v>
      </c>
      <c r="D29" s="3">
        <v>10</v>
      </c>
      <c r="E29" s="3">
        <v>4</v>
      </c>
      <c r="F29" s="3">
        <v>3</v>
      </c>
      <c r="G29" s="3" t="str">
        <f t="shared" si="0"/>
        <v>0x000A0103</v>
      </c>
      <c r="H29" s="3"/>
    </row>
    <row r="30" spans="1:8" x14ac:dyDescent="0.25">
      <c r="A30" s="3" t="s">
        <v>941</v>
      </c>
      <c r="B30" s="3"/>
      <c r="C30" s="3" t="s">
        <v>995</v>
      </c>
      <c r="D30" s="3">
        <v>11</v>
      </c>
      <c r="E30" s="3">
        <v>18</v>
      </c>
      <c r="F30" s="3">
        <v>1</v>
      </c>
      <c r="G30" s="3" t="str">
        <f t="shared" ref="G30:G38" si="7">IF(OR(D30="",E30="",F30=""),"",CONCATENATE("0x",DEC2HEX(MOD(F30,64)+E30*POWER(2,6)+D30*POWER(2,16),8)))</f>
        <v>0x000B0481</v>
      </c>
    </row>
    <row r="31" spans="1:8" x14ac:dyDescent="0.25">
      <c r="A31" s="3" t="s">
        <v>941</v>
      </c>
      <c r="B31" s="3"/>
      <c r="C31" s="3" t="s">
        <v>996</v>
      </c>
      <c r="D31" s="3">
        <v>11</v>
      </c>
      <c r="E31" s="3">
        <v>20</v>
      </c>
      <c r="F31" s="3">
        <v>1</v>
      </c>
      <c r="G31" s="3" t="str">
        <f t="shared" ref="G31" si="8">IF(OR(D31="",E31="",F31=""),"",CONCATENATE("0x",DEC2HEX(MOD(F31,64)+E31*POWER(2,6)+D31*POWER(2,16),8)))</f>
        <v>0x000B0501</v>
      </c>
    </row>
    <row r="32" spans="1:8" x14ac:dyDescent="0.25">
      <c r="A32" s="3" t="s">
        <v>941</v>
      </c>
      <c r="B32" s="3"/>
      <c r="C32" s="3" t="s">
        <v>748</v>
      </c>
      <c r="D32" s="3">
        <v>11</v>
      </c>
      <c r="E32" s="3">
        <v>4</v>
      </c>
      <c r="F32" s="3">
        <v>1</v>
      </c>
      <c r="G32" s="3" t="str">
        <f t="shared" si="7"/>
        <v>0x000B0101</v>
      </c>
    </row>
    <row r="33" spans="1:7" x14ac:dyDescent="0.25">
      <c r="A33" s="3" t="s">
        <v>941</v>
      </c>
      <c r="B33" s="3"/>
      <c r="C33" s="3" t="s">
        <v>749</v>
      </c>
      <c r="D33" s="3">
        <v>11</v>
      </c>
      <c r="E33" s="3">
        <v>4</v>
      </c>
      <c r="F33" s="3">
        <v>2</v>
      </c>
      <c r="G33" s="3" t="str">
        <f t="shared" si="7"/>
        <v>0x000B0102</v>
      </c>
    </row>
    <row r="34" spans="1:7" x14ac:dyDescent="0.25">
      <c r="A34" s="3" t="s">
        <v>941</v>
      </c>
      <c r="B34" s="3"/>
      <c r="C34" s="3" t="s">
        <v>750</v>
      </c>
      <c r="D34" s="3">
        <v>11</v>
      </c>
      <c r="E34" s="3">
        <v>4</v>
      </c>
      <c r="F34" s="3">
        <v>3</v>
      </c>
      <c r="G34" s="3" t="str">
        <f t="shared" si="7"/>
        <v>0x000B0103</v>
      </c>
    </row>
    <row r="35" spans="1:7" x14ac:dyDescent="0.25">
      <c r="A35" s="3" t="s">
        <v>945</v>
      </c>
      <c r="B35" s="3"/>
      <c r="C35" s="3" t="s">
        <v>300</v>
      </c>
      <c r="D35" s="3">
        <v>12</v>
      </c>
      <c r="E35" s="3">
        <v>19</v>
      </c>
      <c r="F35" s="3">
        <v>1</v>
      </c>
      <c r="G35" s="3" t="str">
        <f t="shared" si="7"/>
        <v>0x000C04C1</v>
      </c>
    </row>
    <row r="36" spans="1:7" x14ac:dyDescent="0.25">
      <c r="A36" s="3" t="s">
        <v>945</v>
      </c>
      <c r="B36" s="3"/>
      <c r="C36" s="3" t="s">
        <v>748</v>
      </c>
      <c r="D36" s="3">
        <v>12</v>
      </c>
      <c r="E36" s="3">
        <v>4</v>
      </c>
      <c r="F36" s="3">
        <v>1</v>
      </c>
      <c r="G36" s="3" t="str">
        <f t="shared" si="7"/>
        <v>0x000C0101</v>
      </c>
    </row>
    <row r="37" spans="1:7" x14ac:dyDescent="0.25">
      <c r="A37" s="3" t="s">
        <v>945</v>
      </c>
      <c r="B37" s="3"/>
      <c r="C37" s="3" t="s">
        <v>749</v>
      </c>
      <c r="D37" s="3">
        <v>12</v>
      </c>
      <c r="E37" s="3">
        <v>4</v>
      </c>
      <c r="F37" s="3">
        <v>2</v>
      </c>
      <c r="G37" s="3" t="str">
        <f t="shared" si="7"/>
        <v>0x000C0102</v>
      </c>
    </row>
    <row r="38" spans="1:7" x14ac:dyDescent="0.25">
      <c r="A38" s="3" t="s">
        <v>945</v>
      </c>
      <c r="B38" s="3"/>
      <c r="C38" s="3" t="s">
        <v>750</v>
      </c>
      <c r="D38" s="3">
        <v>12</v>
      </c>
      <c r="E38" s="3">
        <v>4</v>
      </c>
      <c r="F38" s="3">
        <v>3</v>
      </c>
      <c r="G38" s="3" t="str">
        <f t="shared" si="7"/>
        <v>0x000C0103</v>
      </c>
    </row>
    <row r="39" spans="1:7" x14ac:dyDescent="0.25">
      <c r="G39" s="3" t="str">
        <f t="shared" si="0"/>
        <v/>
      </c>
    </row>
    <row r="40" spans="1:7" x14ac:dyDescent="0.25">
      <c r="G40" s="3" t="str">
        <f t="shared" si="0"/>
        <v/>
      </c>
    </row>
    <row r="41" spans="1:7" x14ac:dyDescent="0.25">
      <c r="G41" s="3" t="str">
        <f t="shared" si="0"/>
        <v/>
      </c>
    </row>
    <row r="42" spans="1:7" x14ac:dyDescent="0.25">
      <c r="G42" s="3" t="str">
        <f t="shared" si="0"/>
        <v/>
      </c>
    </row>
    <row r="43" spans="1:7" x14ac:dyDescent="0.25">
      <c r="G43" s="3" t="str">
        <f t="shared" si="0"/>
        <v/>
      </c>
    </row>
    <row r="44" spans="1:7" x14ac:dyDescent="0.25">
      <c r="G44" s="3" t="str">
        <f t="shared" si="0"/>
        <v/>
      </c>
    </row>
    <row r="45" spans="1:7" x14ac:dyDescent="0.25">
      <c r="G45" s="3" t="str">
        <f t="shared" si="0"/>
        <v/>
      </c>
    </row>
    <row r="46" spans="1:7" x14ac:dyDescent="0.25">
      <c r="G46" s="3" t="str">
        <f t="shared" si="0"/>
        <v/>
      </c>
    </row>
    <row r="47" spans="1:7" x14ac:dyDescent="0.25">
      <c r="G47" s="3" t="str">
        <f t="shared" si="0"/>
        <v/>
      </c>
    </row>
    <row r="48" spans="1:7" x14ac:dyDescent="0.25">
      <c r="G48" s="3" t="str">
        <f t="shared" si="0"/>
        <v/>
      </c>
    </row>
    <row r="49" spans="7:7" x14ac:dyDescent="0.25">
      <c r="G49" s="3" t="str">
        <f t="shared" si="0"/>
        <v/>
      </c>
    </row>
    <row r="50" spans="7:7" x14ac:dyDescent="0.25">
      <c r="G50" s="3" t="str">
        <f t="shared" si="0"/>
        <v/>
      </c>
    </row>
    <row r="51" spans="7:7" x14ac:dyDescent="0.25">
      <c r="G51" s="3" t="str">
        <f t="shared" si="0"/>
        <v/>
      </c>
    </row>
    <row r="52" spans="7:7" x14ac:dyDescent="0.25">
      <c r="G52" s="3" t="str">
        <f t="shared" si="0"/>
        <v/>
      </c>
    </row>
    <row r="53" spans="7:7" x14ac:dyDescent="0.25">
      <c r="G53" s="3" t="str">
        <f t="shared" si="0"/>
        <v/>
      </c>
    </row>
    <row r="54" spans="7:7" x14ac:dyDescent="0.25">
      <c r="G54" s="3" t="str">
        <f t="shared" si="0"/>
        <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Fogli di lavoro</vt:lpstr>
      </vt:variant>
      <vt:variant>
        <vt:i4>21</vt:i4>
      </vt:variant>
      <vt:variant>
        <vt:lpstr>Intervalli denominati</vt:lpstr>
      </vt:variant>
      <vt:variant>
        <vt:i4>1</vt:i4>
      </vt:variant>
    </vt:vector>
  </HeadingPairs>
  <TitlesOfParts>
    <vt:vector size="22" baseType="lpstr">
      <vt:lpstr>COMANDI</vt:lpstr>
      <vt:lpstr>ESEMPI MESSAGGI COMANDI BLE</vt:lpstr>
      <vt:lpstr>DATI LOGICI</vt:lpstr>
      <vt:lpstr>DATI LOGICI SHERPA SLIM</vt:lpstr>
      <vt:lpstr>DATI LOGICI EDEN</vt:lpstr>
      <vt:lpstr>DATI LOGICI TASTIERA PAC</vt:lpstr>
      <vt:lpstr>DATI LOGICI HMI SPYKE</vt:lpstr>
      <vt:lpstr>DATI LOGICI GATEWAY SPYKE</vt:lpstr>
      <vt:lpstr>DATI LOGICI GRADINO</vt:lpstr>
      <vt:lpstr>DATI LOGICI OPTIMUS</vt:lpstr>
      <vt:lpstr>DATI LOGICI TOP-LIFT M</vt:lpstr>
      <vt:lpstr>DATI LOGICI VECCHIO EDEN</vt:lpstr>
      <vt:lpstr>DATI LOGICI TOP-LIFT A2</vt:lpstr>
      <vt:lpstr>DATI LOGICI O3ZTECH</vt:lpstr>
      <vt:lpstr>DATI LOGICI HMI SPARK</vt:lpstr>
      <vt:lpstr>DATI LOGICI OPTIMUS XP</vt:lpstr>
      <vt:lpstr>DATI LOGICI EDEN BS8</vt:lpstr>
      <vt:lpstr>DATI LOGICI R3L-XP Master</vt:lpstr>
      <vt:lpstr>DATI LOGICI R3L-XP Slave</vt:lpstr>
      <vt:lpstr>Tipi FW</vt:lpstr>
      <vt:lpstr>Indirizzo protocollo stem</vt:lpstr>
      <vt:lpstr>'DATI LOGICI'!Area_stampa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Michele</dc:creator>
  <dc:description/>
  <cp:lastModifiedBy>Luca Veronelli - STEM</cp:lastModifiedBy>
  <cp:revision>18</cp:revision>
  <cp:lastPrinted>2023-04-03T13:10:29Z</cp:lastPrinted>
  <dcterms:created xsi:type="dcterms:W3CDTF">2022-07-05T11:58:56Z</dcterms:created>
  <dcterms:modified xsi:type="dcterms:W3CDTF">2026-04-01T09:54:28Z</dcterms:modified>
  <dc:language>it-IT</dc:language>
</cp:coreProperties>
</file>